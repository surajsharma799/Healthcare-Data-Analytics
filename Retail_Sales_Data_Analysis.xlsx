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8570fa94b7fd2eb/Desktop/PROJECT/"/>
    </mc:Choice>
  </mc:AlternateContent>
  <xr:revisionPtr revIDLastSave="42" documentId="11_6283195ED745F0BF6D7D38955A5DCE3A674B3B41" xr6:coauthVersionLast="47" xr6:coauthVersionMax="47" xr10:uidLastSave="{7599AF7A-04E7-4F9E-9214-044F5CAA1E5A}"/>
  <bookViews>
    <workbookView xWindow="-108" yWindow="-108" windowWidth="23256" windowHeight="12456" activeTab="1" xr2:uid="{00000000-000D-0000-FFFF-FFFF00000000}"/>
  </bookViews>
  <sheets>
    <sheet name="Sales_Data" sheetId="1" r:id="rId1"/>
    <sheet name="Analysis" sheetId="2" r:id="rId2"/>
  </sheets>
  <definedNames>
    <definedName name="_xlnm._FilterDatabase" localSheetId="0" hidden="1">Sales_Data!$A$1:$I$201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4" i="2"/>
  <c r="B3" i="2"/>
  <c r="B1" i="2"/>
</calcChain>
</file>

<file path=xl/sharedStrings.xml><?xml version="1.0" encoding="utf-8"?>
<sst xmlns="http://schemas.openxmlformats.org/spreadsheetml/2006/main" count="813" uniqueCount="236">
  <si>
    <t>Order ID</t>
  </si>
  <si>
    <t>Order Date</t>
  </si>
  <si>
    <t>Product</t>
  </si>
  <si>
    <t>Category</t>
  </si>
  <si>
    <t>City</t>
  </si>
  <si>
    <t>Quantity</t>
  </si>
  <si>
    <t>Discount</t>
  </si>
  <si>
    <t>Sales</t>
  </si>
  <si>
    <t>Profit</t>
  </si>
  <si>
    <t>ORD0001</t>
  </si>
  <si>
    <t>Coffee Maker</t>
  </si>
  <si>
    <t>Home Appliances</t>
  </si>
  <si>
    <t>Delhi</t>
  </si>
  <si>
    <t>ORD0002</t>
  </si>
  <si>
    <t>Keyboard</t>
  </si>
  <si>
    <t>Electronics</t>
  </si>
  <si>
    <t>Chennai</t>
  </si>
  <si>
    <t>ORD0003</t>
  </si>
  <si>
    <t>Jeans</t>
  </si>
  <si>
    <t>Fashion</t>
  </si>
  <si>
    <t>ORD0004</t>
  </si>
  <si>
    <t>ORD0005</t>
  </si>
  <si>
    <t>ORD0006</t>
  </si>
  <si>
    <t>Backpack</t>
  </si>
  <si>
    <t>Kolkata</t>
  </si>
  <si>
    <t>ORD0007</t>
  </si>
  <si>
    <t>Headphones</t>
  </si>
  <si>
    <t>Mumbai</t>
  </si>
  <si>
    <t>ORD0008</t>
  </si>
  <si>
    <t>Bangalore</t>
  </si>
  <si>
    <t>ORD0009</t>
  </si>
  <si>
    <t>ORD0010</t>
  </si>
  <si>
    <t>Running Shoes</t>
  </si>
  <si>
    <t>Hyderabad</t>
  </si>
  <si>
    <t>ORD0011</t>
  </si>
  <si>
    <t>Smartphone</t>
  </si>
  <si>
    <t>ORD0012</t>
  </si>
  <si>
    <t>Pune</t>
  </si>
  <si>
    <t>ORD0013</t>
  </si>
  <si>
    <t>ORD0014</t>
  </si>
  <si>
    <t>ORD0015</t>
  </si>
  <si>
    <t>T-Shirt</t>
  </si>
  <si>
    <t>ORD0016</t>
  </si>
  <si>
    <t>ORD0017</t>
  </si>
  <si>
    <t>Mixer Grinder</t>
  </si>
  <si>
    <t>ORD0018</t>
  </si>
  <si>
    <t>ORD0019</t>
  </si>
  <si>
    <t>ORD0020</t>
  </si>
  <si>
    <t>ORD0021</t>
  </si>
  <si>
    <t>Study Table</t>
  </si>
  <si>
    <t>Furniture</t>
  </si>
  <si>
    <t>ORD0022</t>
  </si>
  <si>
    <t>ORD0023</t>
  </si>
  <si>
    <t>ORD0024</t>
  </si>
  <si>
    <t>ORD0025</t>
  </si>
  <si>
    <t>ORD0026</t>
  </si>
  <si>
    <t>Laptop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</si>
  <si>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</si>
  <si>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</si>
  <si>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</si>
  <si>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</si>
  <si>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</si>
  <si>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</si>
  <si>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</si>
  <si>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</si>
  <si>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</si>
  <si>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</si>
  <si>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</si>
  <si>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</si>
  <si>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Office Chair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</si>
  <si>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</si>
  <si>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</si>
  <si>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</si>
  <si>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</si>
  <si>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</si>
  <si>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</si>
  <si>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</si>
  <si>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</si>
  <si>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</si>
  <si>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</si>
  <si>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</si>
  <si>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</si>
  <si>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</si>
  <si>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</si>
  <si>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</si>
  <si>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</si>
  <si>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</si>
  <si>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</si>
  <si>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</si>
  <si>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</si>
  <si>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</si>
  <si>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</si>
  <si>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</si>
  <si>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</si>
  <si>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</si>
  <si>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</si>
  <si>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</si>
  <si>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</si>
  <si>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</si>
  <si>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</si>
  <si>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</si>
  <si>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</si>
  <si>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</si>
  <si>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</si>
  <si>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</si>
  <si>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</si>
  <si>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</si>
  <si>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</si>
  <si>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</si>
  <si>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</si>
  <si>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</si>
  <si>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</si>
  <si>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</si>
  <si>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</si>
  <si>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</si>
  <si>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</si>
  <si>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</si>
  <si>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</si>
  <si>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</si>
  <si>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</si>
  <si>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</si>
  <si>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</si>
  <si>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</si>
  <si>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</si>
  <si>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</si>
  <si>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</si>
  <si>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</si>
  <si>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</si>
  <si>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</si>
  <si>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</si>
  <si>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</si>
  <si>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</si>
  <si>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</si>
  <si>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</si>
  <si>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</si>
  <si>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</si>
  <si>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</si>
  <si>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</si>
  <si>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</si>
  <si>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</si>
  <si>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</si>
  <si>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</si>
  <si>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</si>
  <si>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</si>
  <si>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</si>
  <si>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</si>
  <si>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</si>
  <si>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</si>
  <si>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</si>
  <si>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</si>
  <si>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</si>
  <si>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</si>
  <si>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</si>
  <si>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</si>
  <si>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</si>
  <si>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</si>
  <si>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</si>
  <si>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</si>
  <si>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</si>
  <si>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</si>
  <si>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</si>
  <si>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</si>
  <si>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</si>
  <si>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</si>
  <si>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</si>
  <si>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</si>
  <si>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</si>
  <si>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</si>
  <si>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</si>
  <si>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</si>
  <si>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</si>
  <si>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</si>
  <si>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</si>
  <si>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</si>
  <si>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</si>
  <si>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</si>
  <si>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</si>
  <si>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</si>
  <si>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</si>
  <si>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</si>
  <si>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</si>
  <si>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</si>
  <si>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</si>
  <si>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</si>
  <si>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</si>
  <si>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</si>
  <si>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</si>
  <si>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</si>
  <si>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</si>
  <si>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</si>
  <si>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</si>
  <si>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</si>
  <si>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</si>
  <si>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</si>
  <si>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</si>
  <si>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</si>
  <si>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</si>
  <si>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</si>
  <si>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</si>
  <si>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</si>
  <si>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</si>
  <si>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</si>
  <si>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</si>
  <si>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</si>
  <si>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</si>
  <si>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</si>
  <si>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</si>
  <si>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</si>
  <si>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</si>
  <si>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</si>
  <si>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</si>
  <si>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</si>
  <si>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</si>
  <si>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</si>
  <si>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</si>
  <si>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</si>
  <si>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</si>
  <si>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</si>
  <si>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</si>
  <si>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</si>
  <si>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</si>
  <si>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</si>
  <si>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</si>
  <si>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</si>
  <si>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</si>
  <si>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</si>
  <si>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</si>
  <si>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</si>
  <si>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</si>
  <si>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</si>
  <si>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</si>
  <si>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</si>
  <si>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Sales</t>
  </si>
  <si>
    <t>Total Profit</t>
  </si>
  <si>
    <t>Total Quantity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</si>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</sst>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6B5D3-D878-4048-8B92-9E87B06EEB58}" name="Table1" displayName="Table1" ref="A1:I201" totalsRowShown="0" headerRowDxfId="3" headerRowBorderDxfId="2" tableBorderDxfId="1">
  <autoFilter ref="A1:I201" xr:uid="{E1D6B5D3-D878-4048-8B92-9E87B06EEB58}"/>
  <tableColumns count="9">
    <tableColumn id="1" xr3:uid="{3A46DB34-A511-4D3F-BF46-379313D6D993}" name="Order ID"/>
    <tableColumn id="2" xr3:uid="{F58AB4C3-A9A8-42E0-9680-5D232E141093}" name="Order Date" dataDxfId="0"/>
    <tableColumn id="3" xr3:uid="{9A9771CA-307B-4C41-BCC7-3A4335D16BEB}" name="Product"/>
    <tableColumn id="4" xr3:uid="{3076680A-79AB-4CBF-8986-F3EAD6A28DEC}" name="Category"/>
    <tableColumn id="5" xr3:uid="{75249965-85FB-4021-B370-11D8BA9200E4}" name="City"/>
    <tableColumn id="6" xr3:uid="{40C11E4E-23B0-475C-8095-DE2CEEA3AF0C}" name="Quantity"/>
    <tableColumn id="7" xr3:uid="{7F474684-C17D-46C4-97C0-A7600147C4C8}" name="Discount"/>
    <tableColumn id="8" xr3:uid="{2F44625D-242E-41E2-8055-0C3021F66ECB}" name="Sales"/>
    <tableColumn id="9" xr3:uid="{DA4040B6-3D1E-4E8A-B5B0-5FCEA0C2E76F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>
      <pane ySplit="1" topLeftCell="A176" activePane="bottomLeft" state="frozen"/>
      <selection pane="bottomLeft" activeCell="K180" sqref="K180"/>
    </sheetView>
  </sheetViews>
  <sheetFormatPr defaultRowHeight="14.4" x14ac:dyDescent="0.3"/>
  <cols>
    <col min="1" max="1" width="10" customWidth="1"/>
    <col min="2" max="2" width="12" customWidth="1"/>
    <col min="3" max="3" width="15" customWidth="1"/>
    <col min="4" max="4" width="17" customWidth="1"/>
    <col min="5" max="5" width="11" customWidth="1"/>
    <col min="6" max="7" width="10.21875" customWidth="1"/>
    <col min="8" max="8" width="10" customWidth="1"/>
    <col min="9" max="9" width="9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s="1">
        <v>46051</v>
      </c>
      <c r="C2" t="s">
        <v>10</v>
      </c>
      <c r="D2" t="s">
        <v>11</v>
      </c>
      <c r="E2" t="s">
        <v>12</v>
      </c>
      <c r="F2">
        <v>1</v>
      </c>
      <c r="G2">
        <v>0.05</v>
      </c>
      <c r="H2">
        <v>4275</v>
      </c>
      <c r="I2">
        <v>684</v>
      </c>
    </row>
    <row r="3" spans="1:9" x14ac:dyDescent="0.3">
      <c r="A3" t="s">
        <v>13</v>
      </c>
      <c r="B3" s="1">
        <v>46058</v>
      </c>
      <c r="C3" t="s">
        <v>14</v>
      </c>
      <c r="D3" t="s">
        <v>15</v>
      </c>
      <c r="E3" t="s">
        <v>16</v>
      </c>
      <c r="F3">
        <v>1</v>
      </c>
      <c r="G3">
        <v>0</v>
      </c>
      <c r="H3">
        <v>1800</v>
      </c>
      <c r="I3">
        <v>324</v>
      </c>
    </row>
    <row r="4" spans="1:9" x14ac:dyDescent="0.3">
      <c r="A4" t="s">
        <v>17</v>
      </c>
      <c r="B4" s="1">
        <v>46031</v>
      </c>
      <c r="C4" t="s">
        <v>18</v>
      </c>
      <c r="D4" t="s">
        <v>19</v>
      </c>
      <c r="E4" t="s">
        <v>12</v>
      </c>
      <c r="F4">
        <v>1</v>
      </c>
      <c r="G4">
        <v>0</v>
      </c>
      <c r="H4">
        <v>1800</v>
      </c>
      <c r="I4">
        <v>396</v>
      </c>
    </row>
    <row r="5" spans="1:9" x14ac:dyDescent="0.3">
      <c r="A5" t="s">
        <v>20</v>
      </c>
      <c r="B5" s="1">
        <v>46152</v>
      </c>
      <c r="C5" t="s">
        <v>14</v>
      </c>
      <c r="D5" t="s">
        <v>15</v>
      </c>
      <c r="E5" t="s">
        <v>16</v>
      </c>
      <c r="F5">
        <v>5</v>
      </c>
      <c r="G5">
        <v>0</v>
      </c>
      <c r="H5">
        <v>9000</v>
      </c>
      <c r="I5">
        <v>1620</v>
      </c>
    </row>
    <row r="6" spans="1:9" x14ac:dyDescent="0.3">
      <c r="A6" t="s">
        <v>21</v>
      </c>
      <c r="B6" s="1">
        <v>46189</v>
      </c>
      <c r="C6" t="s">
        <v>14</v>
      </c>
      <c r="D6" t="s">
        <v>15</v>
      </c>
      <c r="E6" t="s">
        <v>12</v>
      </c>
      <c r="F6">
        <v>5</v>
      </c>
      <c r="G6">
        <v>0.1</v>
      </c>
      <c r="H6">
        <v>8100</v>
      </c>
      <c r="I6">
        <v>1458</v>
      </c>
    </row>
    <row r="7" spans="1:9" x14ac:dyDescent="0.3">
      <c r="A7" t="s">
        <v>22</v>
      </c>
      <c r="B7" s="1">
        <v>46173</v>
      </c>
      <c r="C7" t="s">
        <v>23</v>
      </c>
      <c r="D7" t="s">
        <v>19</v>
      </c>
      <c r="E7" t="s">
        <v>24</v>
      </c>
      <c r="F7">
        <v>3</v>
      </c>
      <c r="G7">
        <v>0</v>
      </c>
      <c r="H7">
        <v>4800</v>
      </c>
      <c r="I7">
        <v>960</v>
      </c>
    </row>
    <row r="8" spans="1:9" x14ac:dyDescent="0.3">
      <c r="A8" t="s">
        <v>25</v>
      </c>
      <c r="B8" s="1">
        <v>46201</v>
      </c>
      <c r="C8" t="s">
        <v>26</v>
      </c>
      <c r="D8" t="s">
        <v>15</v>
      </c>
      <c r="E8" t="s">
        <v>27</v>
      </c>
      <c r="F8">
        <v>4</v>
      </c>
      <c r="G8">
        <v>0.05</v>
      </c>
      <c r="H8">
        <v>9500</v>
      </c>
      <c r="I8">
        <v>1425</v>
      </c>
    </row>
    <row r="9" spans="1:9" x14ac:dyDescent="0.3">
      <c r="A9" t="s">
        <v>28</v>
      </c>
      <c r="B9" s="1">
        <v>46078</v>
      </c>
      <c r="C9" t="s">
        <v>26</v>
      </c>
      <c r="D9" t="s">
        <v>15</v>
      </c>
      <c r="E9" t="s">
        <v>29</v>
      </c>
      <c r="F9">
        <v>3</v>
      </c>
      <c r="G9">
        <v>0</v>
      </c>
      <c r="H9">
        <v>7500</v>
      </c>
      <c r="I9">
        <v>1125</v>
      </c>
    </row>
    <row r="10" spans="1:9" x14ac:dyDescent="0.3">
      <c r="A10" t="s">
        <v>30</v>
      </c>
      <c r="B10" s="1">
        <v>46047</v>
      </c>
      <c r="C10" t="s">
        <v>18</v>
      </c>
      <c r="D10" t="s">
        <v>19</v>
      </c>
      <c r="E10" t="s">
        <v>16</v>
      </c>
      <c r="F10">
        <v>3</v>
      </c>
      <c r="G10">
        <v>0.05</v>
      </c>
      <c r="H10">
        <v>5130</v>
      </c>
      <c r="I10">
        <v>1128.5999999999999</v>
      </c>
    </row>
    <row r="11" spans="1:9" x14ac:dyDescent="0.3">
      <c r="A11" t="s">
        <v>31</v>
      </c>
      <c r="B11" s="1">
        <v>46034</v>
      </c>
      <c r="C11" t="s">
        <v>32</v>
      </c>
      <c r="D11" t="s">
        <v>19</v>
      </c>
      <c r="E11" t="s">
        <v>33</v>
      </c>
      <c r="F11">
        <v>4</v>
      </c>
      <c r="G11">
        <v>0</v>
      </c>
      <c r="H11">
        <v>14000</v>
      </c>
      <c r="I11">
        <v>2800</v>
      </c>
    </row>
    <row r="12" spans="1:9" x14ac:dyDescent="0.3">
      <c r="A12" t="s">
        <v>34</v>
      </c>
      <c r="B12" s="1">
        <v>46164</v>
      </c>
      <c r="C12" t="s">
        <v>35</v>
      </c>
      <c r="D12" t="s">
        <v>15</v>
      </c>
      <c r="E12" t="s">
        <v>16</v>
      </c>
      <c r="F12">
        <v>3</v>
      </c>
      <c r="G12">
        <v>0.05</v>
      </c>
      <c r="H12">
        <v>85500</v>
      </c>
      <c r="I12">
        <v>7695</v>
      </c>
    </row>
    <row r="13" spans="1:9" x14ac:dyDescent="0.3">
      <c r="A13" t="s">
        <v>36</v>
      </c>
      <c r="B13" s="1">
        <v>46203</v>
      </c>
      <c r="C13" t="s">
        <v>14</v>
      </c>
      <c r="D13" t="s">
        <v>15</v>
      </c>
      <c r="E13" t="s">
        <v>37</v>
      </c>
      <c r="F13">
        <v>1</v>
      </c>
      <c r="G13">
        <v>0</v>
      </c>
      <c r="H13">
        <v>1800</v>
      </c>
      <c r="I13">
        <v>324</v>
      </c>
    </row>
    <row r="14" spans="1:9" x14ac:dyDescent="0.3">
      <c r="A14" t="s">
        <v>38</v>
      </c>
      <c r="B14" s="1">
        <v>46097</v>
      </c>
      <c r="C14" t="s">
        <v>14</v>
      </c>
      <c r="D14" t="s">
        <v>15</v>
      </c>
      <c r="E14" t="s">
        <v>24</v>
      </c>
      <c r="F14">
        <v>1</v>
      </c>
      <c r="G14">
        <v>0</v>
      </c>
      <c r="H14">
        <v>1800</v>
      </c>
      <c r="I14">
        <v>324</v>
      </c>
    </row>
    <row r="15" spans="1:9" x14ac:dyDescent="0.3">
      <c r="A15" t="s">
        <v>39</v>
      </c>
      <c r="B15" s="1">
        <v>46120</v>
      </c>
      <c r="C15" t="s">
        <v>35</v>
      </c>
      <c r="D15" t="s">
        <v>15</v>
      </c>
      <c r="E15" t="s">
        <v>37</v>
      </c>
      <c r="F15">
        <v>3</v>
      </c>
      <c r="G15">
        <v>0.1</v>
      </c>
      <c r="H15">
        <v>81000</v>
      </c>
      <c r="I15">
        <v>7290</v>
      </c>
    </row>
    <row r="16" spans="1:9" x14ac:dyDescent="0.3">
      <c r="A16" t="s">
        <v>40</v>
      </c>
      <c r="B16" s="1">
        <v>46064</v>
      </c>
      <c r="C16" t="s">
        <v>41</v>
      </c>
      <c r="D16" t="s">
        <v>19</v>
      </c>
      <c r="E16" t="s">
        <v>12</v>
      </c>
      <c r="F16">
        <v>3</v>
      </c>
      <c r="G16">
        <v>0.05</v>
      </c>
      <c r="H16">
        <v>2565</v>
      </c>
      <c r="I16">
        <v>641.25</v>
      </c>
    </row>
    <row r="17" spans="1:9" x14ac:dyDescent="0.3">
      <c r="A17" t="s">
        <v>42</v>
      </c>
      <c r="B17" s="1">
        <v>46091</v>
      </c>
      <c r="C17" t="s">
        <v>10</v>
      </c>
      <c r="D17" t="s">
        <v>11</v>
      </c>
      <c r="E17" t="s">
        <v>16</v>
      </c>
      <c r="F17">
        <v>1</v>
      </c>
      <c r="G17">
        <v>0</v>
      </c>
      <c r="H17">
        <v>4500</v>
      </c>
      <c r="I17">
        <v>720</v>
      </c>
    </row>
    <row r="18" spans="1:9" x14ac:dyDescent="0.3">
      <c r="A18" t="s">
        <v>43</v>
      </c>
      <c r="B18" s="1">
        <v>46085</v>
      </c>
      <c r="C18" t="s">
        <v>44</v>
      </c>
      <c r="D18" t="s">
        <v>11</v>
      </c>
      <c r="E18" t="s">
        <v>33</v>
      </c>
      <c r="F18">
        <v>2</v>
      </c>
      <c r="G18">
        <v>0.1</v>
      </c>
      <c r="H18">
        <v>5760</v>
      </c>
      <c r="I18">
        <v>748.8</v>
      </c>
    </row>
    <row r="19" spans="1:9" x14ac:dyDescent="0.3">
      <c r="A19" t="s">
        <v>45</v>
      </c>
      <c r="B19" s="1">
        <v>46186</v>
      </c>
      <c r="C19" t="s">
        <v>32</v>
      </c>
      <c r="D19" t="s">
        <v>19</v>
      </c>
      <c r="E19" t="s">
        <v>37</v>
      </c>
      <c r="F19">
        <v>5</v>
      </c>
      <c r="G19">
        <v>0</v>
      </c>
      <c r="H19">
        <v>17500</v>
      </c>
      <c r="I19">
        <v>3500</v>
      </c>
    </row>
    <row r="20" spans="1:9" x14ac:dyDescent="0.3">
      <c r="A20" t="s">
        <v>46</v>
      </c>
      <c r="B20" s="1">
        <v>46037</v>
      </c>
      <c r="C20" t="s">
        <v>41</v>
      </c>
      <c r="D20" t="s">
        <v>19</v>
      </c>
      <c r="E20" t="s">
        <v>24</v>
      </c>
      <c r="F20">
        <v>2</v>
      </c>
      <c r="G20">
        <v>0</v>
      </c>
      <c r="H20">
        <v>1800</v>
      </c>
      <c r="I20">
        <v>450</v>
      </c>
    </row>
    <row r="21" spans="1:9" x14ac:dyDescent="0.3">
      <c r="A21" t="s">
        <v>47</v>
      </c>
      <c r="B21" s="1">
        <v>46125</v>
      </c>
      <c r="C21" t="s">
        <v>41</v>
      </c>
      <c r="D21" t="s">
        <v>19</v>
      </c>
      <c r="E21" t="s">
        <v>12</v>
      </c>
      <c r="F21">
        <v>3</v>
      </c>
      <c r="G21">
        <v>0</v>
      </c>
      <c r="H21">
        <v>2700</v>
      </c>
      <c r="I21">
        <v>675</v>
      </c>
    </row>
    <row r="22" spans="1:9" x14ac:dyDescent="0.3">
      <c r="A22" t="s">
        <v>48</v>
      </c>
      <c r="B22" s="1">
        <v>46103</v>
      </c>
      <c r="C22" t="s">
        <v>49</v>
      </c>
      <c r="D22" t="s">
        <v>50</v>
      </c>
      <c r="E22" t="s">
        <v>33</v>
      </c>
      <c r="F22">
        <v>2</v>
      </c>
      <c r="G22">
        <v>0.1</v>
      </c>
      <c r="H22">
        <v>12600</v>
      </c>
      <c r="I22">
        <v>1764</v>
      </c>
    </row>
    <row r="23" spans="1:9" x14ac:dyDescent="0.3">
      <c r="A23" t="s">
        <v>51</v>
      </c>
      <c r="B23" s="1">
        <v>46140</v>
      </c>
      <c r="C23" t="s">
        <v>10</v>
      </c>
      <c r="D23" t="s">
        <v>11</v>
      </c>
      <c r="E23" t="s">
        <v>12</v>
      </c>
      <c r="F23">
        <v>2</v>
      </c>
      <c r="G23">
        <v>0.05</v>
      </c>
      <c r="H23">
        <v>8550</v>
      </c>
      <c r="I23">
        <v>1368</v>
      </c>
    </row>
    <row r="24" spans="1:9" x14ac:dyDescent="0.3">
      <c r="A24" t="s">
        <v>52</v>
      </c>
      <c r="B24" s="1">
        <v>46166</v>
      </c>
      <c r="C24" t="s">
        <v>14</v>
      </c>
      <c r="D24" t="s">
        <v>15</v>
      </c>
      <c r="E24" t="s">
        <v>37</v>
      </c>
      <c r="F24">
        <v>5</v>
      </c>
      <c r="G24">
        <v>0.05</v>
      </c>
      <c r="H24">
        <v>8550</v>
      </c>
      <c r="I24">
        <v>1539</v>
      </c>
    </row>
    <row r="25" spans="1:9" x14ac:dyDescent="0.3">
      <c r="A25" t="s">
        <v>53</v>
      </c>
      <c r="B25" s="1">
        <v>46132</v>
      </c>
      <c r="C25" t="s">
        <v>49</v>
      </c>
      <c r="D25" t="s">
        <v>50</v>
      </c>
      <c r="E25" t="s">
        <v>27</v>
      </c>
      <c r="F25">
        <v>5</v>
      </c>
      <c r="G25">
        <v>0.1</v>
      </c>
      <c r="H25">
        <v>31500</v>
      </c>
      <c r="I25">
        <v>4410</v>
      </c>
    </row>
    <row r="26" spans="1:9" x14ac:dyDescent="0.3">
      <c r="A26" t="s">
        <v>54</v>
      </c>
      <c r="B26" s="1">
        <v>46058</v>
      </c>
      <c r="C26" t="s">
        <v>14</v>
      </c>
      <c r="D26" t="s">
        <v>15</v>
      </c>
      <c r="E26" t="s">
        <v>29</v>
      </c>
      <c r="F26">
        <v>5</v>
      </c>
      <c r="G26">
        <v>0.1</v>
      </c>
      <c r="H26">
        <v>8100</v>
      </c>
      <c r="I26">
        <v>1458</v>
      </c>
    </row>
    <row r="27" spans="1:9" x14ac:dyDescent="0.3">
      <c r="A27" t="s">
        <v>55</v>
      </c>
      <c r="B27" s="1">
        <v>46051</v>
      </c>
      <c r="C27" t="s">
        <v>56</v>
      </c>
      <c r="D27" t="s">
        <v>15</v>
      </c>
      <c r="E27" t="s">
        <v>24</v>
      </c>
      <c r="F27">
        <v>2</v>
      </c>
      <c r="G27">
        <v>0</v>
      </c>
      <c r="H27">
        <v>110000</v>
      </c>
      <c r="I27">
        <v>11000</v>
      </c>
    </row>
    <row r="28" spans="1:9" x14ac:dyDescent="0.3">
      <c r="A28" t="s">
        <v>57</v>
      </c>
      <c r="B28" s="1">
        <v>46131</v>
      </c>
      <c r="C28" t="s">
        <v>10</v>
      </c>
      <c r="D28" t="s">
        <v>11</v>
      </c>
      <c r="E28" t="s">
        <v>33</v>
      </c>
      <c r="F28">
        <v>5</v>
      </c>
      <c r="G28">
        <v>0</v>
      </c>
      <c r="H28">
        <v>22500</v>
      </c>
      <c r="I28">
        <v>3600</v>
      </c>
    </row>
    <row r="29" spans="1:9" x14ac:dyDescent="0.3">
      <c r="A29" t="s">
        <v>58</v>
      </c>
      <c r="B29" s="1">
        <v>46175</v>
      </c>
      <c r="C29" t="s">
        <v>18</v>
      </c>
      <c r="D29" t="s">
        <v>19</v>
      </c>
      <c r="E29" t="s">
        <v>16</v>
      </c>
      <c r="F29">
        <v>4</v>
      </c>
      <c r="G29">
        <v>0.05</v>
      </c>
      <c r="H29">
        <v>6840</v>
      </c>
      <c r="I29">
        <v>1504.8</v>
      </c>
    </row>
    <row r="30" spans="1:9" x14ac:dyDescent="0.3">
      <c r="A30" t="s">
        <v>59</v>
      </c>
      <c r="B30" s="1">
        <v>46197</v>
      </c>
      <c r="C30" t="s">
        <v>56</v>
      </c>
      <c r="D30" t="s">
        <v>15</v>
      </c>
      <c r="E30" t="s">
        <v>24</v>
      </c>
      <c r="F30">
        <v>1</v>
      </c>
      <c r="G30">
        <v>0.05</v>
      </c>
      <c r="H30">
        <v>52250</v>
      </c>
      <c r="I30">
        <v>5225</v>
      </c>
    </row>
    <row r="31" spans="1:9" x14ac:dyDescent="0.3">
      <c r="A31" t="s">
        <v>60</v>
      </c>
      <c r="B31" s="1">
        <v>46110</v>
      </c>
      <c r="C31" t="s">
        <v>10</v>
      </c>
      <c r="D31" t="s">
        <v>11</v>
      </c>
      <c r="E31" t="s">
        <v>33</v>
      </c>
      <c r="F31">
        <v>1</v>
      </c>
      <c r="G31">
        <v>0.05</v>
      </c>
      <c r="H31">
        <v>4275</v>
      </c>
      <c r="I31">
        <v>684</v>
      </c>
    </row>
    <row r="32" spans="1:9" x14ac:dyDescent="0.3">
      <c r="A32" t="s">
        <v>61</v>
      </c>
      <c r="B32" s="1">
        <v>46139</v>
      </c>
      <c r="C32" t="s">
        <v>26</v>
      </c>
      <c r="D32" t="s">
        <v>15</v>
      </c>
      <c r="E32" t="s">
        <v>16</v>
      </c>
      <c r="F32">
        <v>1</v>
      </c>
      <c r="G32">
        <v>0.05</v>
      </c>
      <c r="H32">
        <v>2375</v>
      </c>
      <c r="I32">
        <v>356.25</v>
      </c>
    </row>
    <row r="33" spans="1:9" x14ac:dyDescent="0.3">
      <c r="A33" t="s">
        <v>62</v>
      </c>
      <c r="B33" s="1">
        <v>46152</v>
      </c>
      <c r="C33" t="s">
        <v>26</v>
      </c>
      <c r="D33" t="s">
        <v>15</v>
      </c>
      <c r="E33" t="s">
        <v>24</v>
      </c>
      <c r="F33">
        <v>1</v>
      </c>
      <c r="G33">
        <v>0.05</v>
      </c>
      <c r="H33">
        <v>2375</v>
      </c>
      <c r="I33">
        <v>356.25</v>
      </c>
    </row>
    <row r="34" spans="1:9" x14ac:dyDescent="0.3">
      <c r="A34" t="s">
        <v>63</v>
      </c>
      <c r="B34" s="1">
        <v>46152</v>
      </c>
      <c r="C34" t="s">
        <v>10</v>
      </c>
      <c r="D34" t="s">
        <v>11</v>
      </c>
      <c r="E34" t="s">
        <v>12</v>
      </c>
      <c r="F34">
        <v>5</v>
      </c>
      <c r="G34">
        <v>0</v>
      </c>
      <c r="H34">
        <v>22500</v>
      </c>
      <c r="I34">
        <v>3600</v>
      </c>
    </row>
    <row r="35" spans="1:9" x14ac:dyDescent="0.3">
      <c r="A35" t="s">
        <v>64</v>
      </c>
      <c r="B35" s="1">
        <v>46064</v>
      </c>
      <c r="C35" t="s">
        <v>41</v>
      </c>
      <c r="D35" t="s">
        <v>19</v>
      </c>
      <c r="E35" t="s">
        <v>16</v>
      </c>
      <c r="F35">
        <v>5</v>
      </c>
      <c r="G35">
        <v>0</v>
      </c>
      <c r="H35">
        <v>4500</v>
      </c>
      <c r="I35">
        <v>1125</v>
      </c>
    </row>
    <row r="36" spans="1:9" x14ac:dyDescent="0.3">
      <c r="A36" t="s">
        <v>65</v>
      </c>
      <c r="B36" s="1">
        <v>46148</v>
      </c>
      <c r="C36" t="s">
        <v>41</v>
      </c>
      <c r="D36" t="s">
        <v>19</v>
      </c>
      <c r="E36" t="s">
        <v>27</v>
      </c>
      <c r="F36">
        <v>1</v>
      </c>
      <c r="G36">
        <v>0</v>
      </c>
      <c r="H36">
        <v>900</v>
      </c>
      <c r="I36">
        <v>225</v>
      </c>
    </row>
    <row r="37" spans="1:9" x14ac:dyDescent="0.3">
      <c r="A37" t="s">
        <v>66</v>
      </c>
      <c r="B37" s="1">
        <v>46084</v>
      </c>
      <c r="C37" t="s">
        <v>32</v>
      </c>
      <c r="D37" t="s">
        <v>19</v>
      </c>
      <c r="E37" t="s">
        <v>16</v>
      </c>
      <c r="F37">
        <v>1</v>
      </c>
      <c r="G37">
        <v>0</v>
      </c>
      <c r="H37">
        <v>3500</v>
      </c>
      <c r="I37">
        <v>700</v>
      </c>
    </row>
    <row r="38" spans="1:9" x14ac:dyDescent="0.3">
      <c r="A38" t="s">
        <v>67</v>
      </c>
      <c r="B38" s="1">
        <v>46044</v>
      </c>
      <c r="C38" t="s">
        <v>35</v>
      </c>
      <c r="D38" t="s">
        <v>15</v>
      </c>
      <c r="E38" t="s">
        <v>24</v>
      </c>
      <c r="F38">
        <v>4</v>
      </c>
      <c r="G38">
        <v>0</v>
      </c>
      <c r="H38">
        <v>120000</v>
      </c>
      <c r="I38">
        <v>10800</v>
      </c>
    </row>
    <row r="39" spans="1:9" x14ac:dyDescent="0.3">
      <c r="A39" t="s">
        <v>68</v>
      </c>
      <c r="B39" s="1">
        <v>46055</v>
      </c>
      <c r="C39" t="s">
        <v>69</v>
      </c>
      <c r="D39" t="s">
        <v>50</v>
      </c>
      <c r="E39" t="s">
        <v>16</v>
      </c>
      <c r="F39">
        <v>2</v>
      </c>
      <c r="G39">
        <v>0.1</v>
      </c>
      <c r="H39">
        <v>15300</v>
      </c>
      <c r="I39">
        <v>1836</v>
      </c>
    </row>
    <row r="40" spans="1:9" x14ac:dyDescent="0.3">
      <c r="A40" t="s">
        <v>70</v>
      </c>
      <c r="B40" s="1">
        <v>46090</v>
      </c>
      <c r="C40" t="s">
        <v>26</v>
      </c>
      <c r="D40" t="s">
        <v>15</v>
      </c>
      <c r="E40" t="s">
        <v>12</v>
      </c>
      <c r="F40">
        <v>5</v>
      </c>
      <c r="G40">
        <v>0.1</v>
      </c>
      <c r="H40">
        <v>11250</v>
      </c>
      <c r="I40">
        <v>1687.5</v>
      </c>
    </row>
    <row r="41" spans="1:9" x14ac:dyDescent="0.3">
      <c r="A41" t="s">
        <v>71</v>
      </c>
      <c r="B41" s="1">
        <v>46199</v>
      </c>
      <c r="C41" t="s">
        <v>69</v>
      </c>
      <c r="D41" t="s">
        <v>50</v>
      </c>
      <c r="E41" t="s">
        <v>33</v>
      </c>
      <c r="F41">
        <v>2</v>
      </c>
      <c r="G41">
        <v>0.05</v>
      </c>
      <c r="H41">
        <v>16150</v>
      </c>
      <c r="I41">
        <v>1938</v>
      </c>
    </row>
    <row r="42" spans="1:9" x14ac:dyDescent="0.3">
      <c r="A42" t="s">
        <v>72</v>
      </c>
      <c r="B42" s="1">
        <v>46189</v>
      </c>
      <c r="C42" t="s">
        <v>10</v>
      </c>
      <c r="D42" t="s">
        <v>11</v>
      </c>
      <c r="E42" t="s">
        <v>16</v>
      </c>
      <c r="F42">
        <v>3</v>
      </c>
      <c r="G42">
        <v>0.1</v>
      </c>
      <c r="H42">
        <v>12150</v>
      </c>
      <c r="I42">
        <v>1944</v>
      </c>
    </row>
    <row r="43" spans="1:9" x14ac:dyDescent="0.3">
      <c r="A43" t="s">
        <v>73</v>
      </c>
      <c r="B43" s="1">
        <v>46053</v>
      </c>
      <c r="C43" t="s">
        <v>23</v>
      </c>
      <c r="D43" t="s">
        <v>19</v>
      </c>
      <c r="E43" t="s">
        <v>29</v>
      </c>
      <c r="F43">
        <v>2</v>
      </c>
      <c r="G43">
        <v>0</v>
      </c>
      <c r="H43">
        <v>3200</v>
      </c>
      <c r="I43">
        <v>640</v>
      </c>
    </row>
    <row r="44" spans="1:9" x14ac:dyDescent="0.3">
      <c r="A44" t="s">
        <v>74</v>
      </c>
      <c r="B44" s="1">
        <v>46028</v>
      </c>
      <c r="C44" t="s">
        <v>41</v>
      </c>
      <c r="D44" t="s">
        <v>19</v>
      </c>
      <c r="E44" t="s">
        <v>16</v>
      </c>
      <c r="F44">
        <v>5</v>
      </c>
      <c r="G44">
        <v>0</v>
      </c>
      <c r="H44">
        <v>4500</v>
      </c>
      <c r="I44">
        <v>1125</v>
      </c>
    </row>
    <row r="45" spans="1:9" x14ac:dyDescent="0.3">
      <c r="A45" t="s">
        <v>75</v>
      </c>
      <c r="B45" s="1">
        <v>46024</v>
      </c>
      <c r="C45" t="s">
        <v>14</v>
      </c>
      <c r="D45" t="s">
        <v>15</v>
      </c>
      <c r="E45" t="s">
        <v>12</v>
      </c>
      <c r="F45">
        <v>1</v>
      </c>
      <c r="G45">
        <v>0</v>
      </c>
      <c r="H45">
        <v>1800</v>
      </c>
      <c r="I45">
        <v>324</v>
      </c>
    </row>
    <row r="46" spans="1:9" x14ac:dyDescent="0.3">
      <c r="A46" t="s">
        <v>76</v>
      </c>
      <c r="B46" s="1">
        <v>46031</v>
      </c>
      <c r="C46" t="s">
        <v>35</v>
      </c>
      <c r="D46" t="s">
        <v>15</v>
      </c>
      <c r="E46" t="s">
        <v>16</v>
      </c>
      <c r="F46">
        <v>3</v>
      </c>
      <c r="G46">
        <v>0</v>
      </c>
      <c r="H46">
        <v>90000</v>
      </c>
      <c r="I46">
        <v>8100</v>
      </c>
    </row>
    <row r="47" spans="1:9" x14ac:dyDescent="0.3">
      <c r="A47" t="s">
        <v>77</v>
      </c>
      <c r="B47" s="1">
        <v>46094</v>
      </c>
      <c r="C47" t="s">
        <v>14</v>
      </c>
      <c r="D47" t="s">
        <v>15</v>
      </c>
      <c r="E47" t="s">
        <v>16</v>
      </c>
      <c r="F47">
        <v>4</v>
      </c>
      <c r="G47">
        <v>0</v>
      </c>
      <c r="H47">
        <v>7200</v>
      </c>
      <c r="I47">
        <v>1296</v>
      </c>
    </row>
    <row r="48" spans="1:9" x14ac:dyDescent="0.3">
      <c r="A48" t="s">
        <v>78</v>
      </c>
      <c r="B48" s="1">
        <v>46169</v>
      </c>
      <c r="C48" t="s">
        <v>26</v>
      </c>
      <c r="D48" t="s">
        <v>15</v>
      </c>
      <c r="E48" t="s">
        <v>12</v>
      </c>
      <c r="F48">
        <v>5</v>
      </c>
      <c r="G48">
        <v>0.1</v>
      </c>
      <c r="H48">
        <v>11250</v>
      </c>
      <c r="I48">
        <v>1687.5</v>
      </c>
    </row>
    <row r="49" spans="1:9" x14ac:dyDescent="0.3">
      <c r="A49" t="s">
        <v>79</v>
      </c>
      <c r="B49" s="1">
        <v>46127</v>
      </c>
      <c r="C49" t="s">
        <v>23</v>
      </c>
      <c r="D49" t="s">
        <v>19</v>
      </c>
      <c r="E49" t="s">
        <v>29</v>
      </c>
      <c r="F49">
        <v>2</v>
      </c>
      <c r="G49">
        <v>0</v>
      </c>
      <c r="H49">
        <v>3200</v>
      </c>
      <c r="I49">
        <v>640</v>
      </c>
    </row>
    <row r="50" spans="1:9" x14ac:dyDescent="0.3">
      <c r="A50" t="s">
        <v>80</v>
      </c>
      <c r="B50" s="1">
        <v>46133</v>
      </c>
      <c r="C50" t="s">
        <v>10</v>
      </c>
      <c r="D50" t="s">
        <v>11</v>
      </c>
      <c r="E50" t="s">
        <v>33</v>
      </c>
      <c r="F50">
        <v>3</v>
      </c>
      <c r="G50">
        <v>0.1</v>
      </c>
      <c r="H50">
        <v>12150</v>
      </c>
      <c r="I50">
        <v>1944</v>
      </c>
    </row>
    <row r="51" spans="1:9" x14ac:dyDescent="0.3">
      <c r="A51" t="s">
        <v>81</v>
      </c>
      <c r="B51" s="1">
        <v>46036</v>
      </c>
      <c r="C51" t="s">
        <v>23</v>
      </c>
      <c r="D51" t="s">
        <v>19</v>
      </c>
      <c r="E51" t="s">
        <v>33</v>
      </c>
      <c r="F51">
        <v>1</v>
      </c>
      <c r="G51">
        <v>0</v>
      </c>
      <c r="H51">
        <v>1600</v>
      </c>
      <c r="I51">
        <v>320</v>
      </c>
    </row>
    <row r="52" spans="1:9" x14ac:dyDescent="0.3">
      <c r="A52" t="s">
        <v>82</v>
      </c>
      <c r="B52" s="1">
        <v>46109</v>
      </c>
      <c r="C52" t="s">
        <v>44</v>
      </c>
      <c r="D52" t="s">
        <v>11</v>
      </c>
      <c r="E52" t="s">
        <v>12</v>
      </c>
      <c r="F52">
        <v>1</v>
      </c>
      <c r="G52">
        <v>0</v>
      </c>
      <c r="H52">
        <v>3200</v>
      </c>
      <c r="I52">
        <v>416</v>
      </c>
    </row>
    <row r="53" spans="1:9" x14ac:dyDescent="0.3">
      <c r="A53" t="s">
        <v>83</v>
      </c>
      <c r="B53" s="1">
        <v>46160</v>
      </c>
      <c r="C53" t="s">
        <v>14</v>
      </c>
      <c r="D53" t="s">
        <v>15</v>
      </c>
      <c r="E53" t="s">
        <v>33</v>
      </c>
      <c r="F53">
        <v>4</v>
      </c>
      <c r="G53">
        <v>0</v>
      </c>
      <c r="H53">
        <v>7200</v>
      </c>
      <c r="I53">
        <v>1296</v>
      </c>
    </row>
    <row r="54" spans="1:9" x14ac:dyDescent="0.3">
      <c r="A54" t="s">
        <v>84</v>
      </c>
      <c r="B54" s="1">
        <v>46094</v>
      </c>
      <c r="C54" t="s">
        <v>26</v>
      </c>
      <c r="D54" t="s">
        <v>15</v>
      </c>
      <c r="E54" t="s">
        <v>24</v>
      </c>
      <c r="F54">
        <v>4</v>
      </c>
      <c r="G54">
        <v>0</v>
      </c>
      <c r="H54">
        <v>10000</v>
      </c>
      <c r="I54">
        <v>1500</v>
      </c>
    </row>
    <row r="55" spans="1:9" x14ac:dyDescent="0.3">
      <c r="A55" t="s">
        <v>85</v>
      </c>
      <c r="B55" s="1">
        <v>46136</v>
      </c>
      <c r="C55" t="s">
        <v>35</v>
      </c>
      <c r="D55" t="s">
        <v>15</v>
      </c>
      <c r="E55" t="s">
        <v>29</v>
      </c>
      <c r="F55">
        <v>5</v>
      </c>
      <c r="G55">
        <v>0</v>
      </c>
      <c r="H55">
        <v>150000</v>
      </c>
      <c r="I55">
        <v>13500</v>
      </c>
    </row>
    <row r="56" spans="1:9" x14ac:dyDescent="0.3">
      <c r="A56" t="s">
        <v>86</v>
      </c>
      <c r="B56" s="1">
        <v>46161</v>
      </c>
      <c r="C56" t="s">
        <v>10</v>
      </c>
      <c r="D56" t="s">
        <v>11</v>
      </c>
      <c r="E56" t="s">
        <v>24</v>
      </c>
      <c r="F56">
        <v>1</v>
      </c>
      <c r="G56">
        <v>0</v>
      </c>
      <c r="H56">
        <v>4500</v>
      </c>
      <c r="I56">
        <v>720</v>
      </c>
    </row>
    <row r="57" spans="1:9" x14ac:dyDescent="0.3">
      <c r="A57" t="s">
        <v>87</v>
      </c>
      <c r="B57" s="1">
        <v>46065</v>
      </c>
      <c r="C57" t="s">
        <v>14</v>
      </c>
      <c r="D57" t="s">
        <v>15</v>
      </c>
      <c r="E57" t="s">
        <v>33</v>
      </c>
      <c r="F57">
        <v>4</v>
      </c>
      <c r="G57">
        <v>0.1</v>
      </c>
      <c r="H57">
        <v>6480</v>
      </c>
      <c r="I57">
        <v>1166.4000000000001</v>
      </c>
    </row>
    <row r="58" spans="1:9" x14ac:dyDescent="0.3">
      <c r="A58" t="s">
        <v>88</v>
      </c>
      <c r="B58" s="1">
        <v>46125</v>
      </c>
      <c r="C58" t="s">
        <v>14</v>
      </c>
      <c r="D58" t="s">
        <v>15</v>
      </c>
      <c r="E58" t="s">
        <v>33</v>
      </c>
      <c r="F58">
        <v>1</v>
      </c>
      <c r="G58">
        <v>0</v>
      </c>
      <c r="H58">
        <v>1800</v>
      </c>
      <c r="I58">
        <v>324</v>
      </c>
    </row>
    <row r="59" spans="1:9" x14ac:dyDescent="0.3">
      <c r="A59" t="s">
        <v>89</v>
      </c>
      <c r="B59" s="1">
        <v>46122</v>
      </c>
      <c r="C59" t="s">
        <v>56</v>
      </c>
      <c r="D59" t="s">
        <v>15</v>
      </c>
      <c r="E59" t="s">
        <v>27</v>
      </c>
      <c r="F59">
        <v>3</v>
      </c>
      <c r="G59">
        <v>0.1</v>
      </c>
      <c r="H59">
        <v>148500</v>
      </c>
      <c r="I59">
        <v>14850</v>
      </c>
    </row>
    <row r="60" spans="1:9" x14ac:dyDescent="0.3">
      <c r="A60" t="s">
        <v>90</v>
      </c>
      <c r="B60" s="1">
        <v>46201</v>
      </c>
      <c r="C60" t="s">
        <v>18</v>
      </c>
      <c r="D60" t="s">
        <v>19</v>
      </c>
      <c r="E60" t="s">
        <v>12</v>
      </c>
      <c r="F60">
        <v>5</v>
      </c>
      <c r="G60">
        <v>0.1</v>
      </c>
      <c r="H60">
        <v>8100</v>
      </c>
      <c r="I60">
        <v>1782</v>
      </c>
    </row>
    <row r="61" spans="1:9" x14ac:dyDescent="0.3">
      <c r="A61" t="s">
        <v>91</v>
      </c>
      <c r="B61" s="1">
        <v>46098</v>
      </c>
      <c r="C61" t="s">
        <v>14</v>
      </c>
      <c r="D61" t="s">
        <v>15</v>
      </c>
      <c r="E61" t="s">
        <v>16</v>
      </c>
      <c r="F61">
        <v>2</v>
      </c>
      <c r="G61">
        <v>0</v>
      </c>
      <c r="H61">
        <v>3600</v>
      </c>
      <c r="I61">
        <v>648</v>
      </c>
    </row>
    <row r="62" spans="1:9" x14ac:dyDescent="0.3">
      <c r="A62" t="s">
        <v>92</v>
      </c>
      <c r="B62" s="1">
        <v>46161</v>
      </c>
      <c r="C62" t="s">
        <v>44</v>
      </c>
      <c r="D62" t="s">
        <v>11</v>
      </c>
      <c r="E62" t="s">
        <v>29</v>
      </c>
      <c r="F62">
        <v>1</v>
      </c>
      <c r="G62">
        <v>0.05</v>
      </c>
      <c r="H62">
        <v>3040</v>
      </c>
      <c r="I62">
        <v>395.2</v>
      </c>
    </row>
    <row r="63" spans="1:9" x14ac:dyDescent="0.3">
      <c r="A63" t="s">
        <v>93</v>
      </c>
      <c r="B63" s="1">
        <v>46172</v>
      </c>
      <c r="C63" t="s">
        <v>56</v>
      </c>
      <c r="D63" t="s">
        <v>15</v>
      </c>
      <c r="E63" t="s">
        <v>29</v>
      </c>
      <c r="F63">
        <v>4</v>
      </c>
      <c r="G63">
        <v>0</v>
      </c>
      <c r="H63">
        <v>220000</v>
      </c>
      <c r="I63">
        <v>22000</v>
      </c>
    </row>
    <row r="64" spans="1:9" x14ac:dyDescent="0.3">
      <c r="A64" t="s">
        <v>94</v>
      </c>
      <c r="B64" s="1">
        <v>46043</v>
      </c>
      <c r="C64" t="s">
        <v>69</v>
      </c>
      <c r="D64" t="s">
        <v>50</v>
      </c>
      <c r="E64" t="s">
        <v>16</v>
      </c>
      <c r="F64">
        <v>2</v>
      </c>
      <c r="G64">
        <v>0</v>
      </c>
      <c r="H64">
        <v>17000</v>
      </c>
      <c r="I64">
        <v>2040</v>
      </c>
    </row>
    <row r="65" spans="1:9" x14ac:dyDescent="0.3">
      <c r="A65" t="s">
        <v>95</v>
      </c>
      <c r="B65" s="1">
        <v>46195</v>
      </c>
      <c r="C65" t="s">
        <v>35</v>
      </c>
      <c r="D65" t="s">
        <v>15</v>
      </c>
      <c r="E65" t="s">
        <v>29</v>
      </c>
      <c r="F65">
        <v>2</v>
      </c>
      <c r="G65">
        <v>0.1</v>
      </c>
      <c r="H65">
        <v>54000</v>
      </c>
      <c r="I65">
        <v>4860</v>
      </c>
    </row>
    <row r="66" spans="1:9" x14ac:dyDescent="0.3">
      <c r="A66" t="s">
        <v>96</v>
      </c>
      <c r="B66" s="1">
        <v>46086</v>
      </c>
      <c r="C66" t="s">
        <v>49</v>
      </c>
      <c r="D66" t="s">
        <v>50</v>
      </c>
      <c r="E66" t="s">
        <v>16</v>
      </c>
      <c r="F66">
        <v>5</v>
      </c>
      <c r="G66">
        <v>0</v>
      </c>
      <c r="H66">
        <v>35000</v>
      </c>
      <c r="I66">
        <v>4900</v>
      </c>
    </row>
    <row r="67" spans="1:9" x14ac:dyDescent="0.3">
      <c r="A67" t="s">
        <v>97</v>
      </c>
      <c r="B67" s="1">
        <v>46130</v>
      </c>
      <c r="C67" t="s">
        <v>35</v>
      </c>
      <c r="D67" t="s">
        <v>15</v>
      </c>
      <c r="E67" t="s">
        <v>27</v>
      </c>
      <c r="F67">
        <v>5</v>
      </c>
      <c r="G67">
        <v>0.05</v>
      </c>
      <c r="H67">
        <v>142500</v>
      </c>
      <c r="I67">
        <v>12825</v>
      </c>
    </row>
    <row r="68" spans="1:9" x14ac:dyDescent="0.3">
      <c r="A68" t="s">
        <v>98</v>
      </c>
      <c r="B68" s="1">
        <v>46194</v>
      </c>
      <c r="C68" t="s">
        <v>14</v>
      </c>
      <c r="D68" t="s">
        <v>15</v>
      </c>
      <c r="E68" t="s">
        <v>27</v>
      </c>
      <c r="F68">
        <v>3</v>
      </c>
      <c r="G68">
        <v>0</v>
      </c>
      <c r="H68">
        <v>5400</v>
      </c>
      <c r="I68">
        <v>972</v>
      </c>
    </row>
    <row r="69" spans="1:9" x14ac:dyDescent="0.3">
      <c r="A69" t="s">
        <v>99</v>
      </c>
      <c r="B69" s="1">
        <v>46056</v>
      </c>
      <c r="C69" t="s">
        <v>18</v>
      </c>
      <c r="D69" t="s">
        <v>19</v>
      </c>
      <c r="E69" t="s">
        <v>27</v>
      </c>
      <c r="F69">
        <v>3</v>
      </c>
      <c r="G69">
        <v>0.1</v>
      </c>
      <c r="H69">
        <v>4860</v>
      </c>
      <c r="I69">
        <v>1069.2</v>
      </c>
    </row>
    <row r="70" spans="1:9" x14ac:dyDescent="0.3">
      <c r="A70" t="s">
        <v>100</v>
      </c>
      <c r="B70" s="1">
        <v>46025</v>
      </c>
      <c r="C70" t="s">
        <v>35</v>
      </c>
      <c r="D70" t="s">
        <v>15</v>
      </c>
      <c r="E70" t="s">
        <v>29</v>
      </c>
      <c r="F70">
        <v>4</v>
      </c>
      <c r="G70">
        <v>0</v>
      </c>
      <c r="H70">
        <v>120000</v>
      </c>
      <c r="I70">
        <v>10800</v>
      </c>
    </row>
    <row r="71" spans="1:9" x14ac:dyDescent="0.3">
      <c r="A71" t="s">
        <v>101</v>
      </c>
      <c r="B71" s="1">
        <v>46077</v>
      </c>
      <c r="C71" t="s">
        <v>69</v>
      </c>
      <c r="D71" t="s">
        <v>50</v>
      </c>
      <c r="E71" t="s">
        <v>12</v>
      </c>
      <c r="F71">
        <v>5</v>
      </c>
      <c r="G71">
        <v>0.05</v>
      </c>
      <c r="H71">
        <v>40375</v>
      </c>
      <c r="I71">
        <v>4845</v>
      </c>
    </row>
    <row r="72" spans="1:9" x14ac:dyDescent="0.3">
      <c r="A72" t="s">
        <v>102</v>
      </c>
      <c r="B72" s="1">
        <v>46040</v>
      </c>
      <c r="C72" t="s">
        <v>41</v>
      </c>
      <c r="D72" t="s">
        <v>19</v>
      </c>
      <c r="E72" t="s">
        <v>27</v>
      </c>
      <c r="F72">
        <v>2</v>
      </c>
      <c r="G72">
        <v>0.05</v>
      </c>
      <c r="H72">
        <v>1710</v>
      </c>
      <c r="I72">
        <v>427.5</v>
      </c>
    </row>
    <row r="73" spans="1:9" x14ac:dyDescent="0.3">
      <c r="A73" t="s">
        <v>103</v>
      </c>
      <c r="B73" s="1">
        <v>46135</v>
      </c>
      <c r="C73" t="s">
        <v>26</v>
      </c>
      <c r="D73" t="s">
        <v>15</v>
      </c>
      <c r="E73" t="s">
        <v>16</v>
      </c>
      <c r="F73">
        <v>5</v>
      </c>
      <c r="G73">
        <v>0.05</v>
      </c>
      <c r="H73">
        <v>11875</v>
      </c>
      <c r="I73">
        <v>1781.25</v>
      </c>
    </row>
    <row r="74" spans="1:9" x14ac:dyDescent="0.3">
      <c r="A74" t="s">
        <v>104</v>
      </c>
      <c r="B74" s="1">
        <v>46158</v>
      </c>
      <c r="C74" t="s">
        <v>10</v>
      </c>
      <c r="D74" t="s">
        <v>11</v>
      </c>
      <c r="E74" t="s">
        <v>37</v>
      </c>
      <c r="F74">
        <v>1</v>
      </c>
      <c r="G74">
        <v>0.05</v>
      </c>
      <c r="H74">
        <v>4275</v>
      </c>
      <c r="I74">
        <v>684</v>
      </c>
    </row>
    <row r="75" spans="1:9" x14ac:dyDescent="0.3">
      <c r="A75" t="s">
        <v>105</v>
      </c>
      <c r="B75" s="1">
        <v>46057</v>
      </c>
      <c r="C75" t="s">
        <v>35</v>
      </c>
      <c r="D75" t="s">
        <v>15</v>
      </c>
      <c r="E75" t="s">
        <v>29</v>
      </c>
      <c r="F75">
        <v>3</v>
      </c>
      <c r="G75">
        <v>0</v>
      </c>
      <c r="H75">
        <v>90000</v>
      </c>
      <c r="I75">
        <v>8100</v>
      </c>
    </row>
    <row r="76" spans="1:9" x14ac:dyDescent="0.3">
      <c r="A76" t="s">
        <v>106</v>
      </c>
      <c r="B76" s="1">
        <v>46164</v>
      </c>
      <c r="C76" t="s">
        <v>44</v>
      </c>
      <c r="D76" t="s">
        <v>11</v>
      </c>
      <c r="E76" t="s">
        <v>27</v>
      </c>
      <c r="F76">
        <v>2</v>
      </c>
      <c r="G76">
        <v>0.05</v>
      </c>
      <c r="H76">
        <v>6080</v>
      </c>
      <c r="I76">
        <v>790.4</v>
      </c>
    </row>
    <row r="77" spans="1:9" x14ac:dyDescent="0.3">
      <c r="A77" t="s">
        <v>107</v>
      </c>
      <c r="B77" s="1">
        <v>46076</v>
      </c>
      <c r="C77" t="s">
        <v>49</v>
      </c>
      <c r="D77" t="s">
        <v>50</v>
      </c>
      <c r="E77" t="s">
        <v>37</v>
      </c>
      <c r="F77">
        <v>3</v>
      </c>
      <c r="G77">
        <v>0</v>
      </c>
      <c r="H77">
        <v>21000</v>
      </c>
      <c r="I77">
        <v>2940</v>
      </c>
    </row>
    <row r="78" spans="1:9" x14ac:dyDescent="0.3">
      <c r="A78" t="s">
        <v>108</v>
      </c>
      <c r="B78" s="1">
        <v>46090</v>
      </c>
      <c r="C78" t="s">
        <v>10</v>
      </c>
      <c r="D78" t="s">
        <v>11</v>
      </c>
      <c r="E78" t="s">
        <v>27</v>
      </c>
      <c r="F78">
        <v>5</v>
      </c>
      <c r="G78">
        <v>0.1</v>
      </c>
      <c r="H78">
        <v>20250</v>
      </c>
      <c r="I78">
        <v>3240</v>
      </c>
    </row>
    <row r="79" spans="1:9" x14ac:dyDescent="0.3">
      <c r="A79" t="s">
        <v>109</v>
      </c>
      <c r="B79" s="1">
        <v>46046</v>
      </c>
      <c r="C79" t="s">
        <v>56</v>
      </c>
      <c r="D79" t="s">
        <v>15</v>
      </c>
      <c r="E79" t="s">
        <v>29</v>
      </c>
      <c r="F79">
        <v>4</v>
      </c>
      <c r="G79">
        <v>0.05</v>
      </c>
      <c r="H79">
        <v>209000</v>
      </c>
      <c r="I79">
        <v>20900</v>
      </c>
    </row>
    <row r="80" spans="1:9" x14ac:dyDescent="0.3">
      <c r="A80" t="s">
        <v>110</v>
      </c>
      <c r="B80" s="1">
        <v>46108</v>
      </c>
      <c r="C80" t="s">
        <v>56</v>
      </c>
      <c r="D80" t="s">
        <v>15</v>
      </c>
      <c r="E80" t="s">
        <v>12</v>
      </c>
      <c r="F80">
        <v>2</v>
      </c>
      <c r="G80">
        <v>0.05</v>
      </c>
      <c r="H80">
        <v>104500</v>
      </c>
      <c r="I80">
        <v>10450</v>
      </c>
    </row>
    <row r="81" spans="1:9" x14ac:dyDescent="0.3">
      <c r="A81" t="s">
        <v>111</v>
      </c>
      <c r="B81" s="1">
        <v>46136</v>
      </c>
      <c r="C81" t="s">
        <v>44</v>
      </c>
      <c r="D81" t="s">
        <v>11</v>
      </c>
      <c r="E81" t="s">
        <v>16</v>
      </c>
      <c r="F81">
        <v>5</v>
      </c>
      <c r="G81">
        <v>0.1</v>
      </c>
      <c r="H81">
        <v>14400</v>
      </c>
      <c r="I81">
        <v>1872</v>
      </c>
    </row>
    <row r="82" spans="1:9" x14ac:dyDescent="0.3">
      <c r="A82" t="s">
        <v>112</v>
      </c>
      <c r="B82" s="1">
        <v>46051</v>
      </c>
      <c r="C82" t="s">
        <v>56</v>
      </c>
      <c r="D82" t="s">
        <v>15</v>
      </c>
      <c r="E82" t="s">
        <v>16</v>
      </c>
      <c r="F82">
        <v>1</v>
      </c>
      <c r="G82">
        <v>0</v>
      </c>
      <c r="H82">
        <v>55000</v>
      </c>
      <c r="I82">
        <v>5500</v>
      </c>
    </row>
    <row r="83" spans="1:9" x14ac:dyDescent="0.3">
      <c r="A83" t="s">
        <v>113</v>
      </c>
      <c r="B83" s="1">
        <v>46117</v>
      </c>
      <c r="C83" t="s">
        <v>56</v>
      </c>
      <c r="D83" t="s">
        <v>15</v>
      </c>
      <c r="E83" t="s">
        <v>33</v>
      </c>
      <c r="F83">
        <v>5</v>
      </c>
      <c r="G83">
        <v>0</v>
      </c>
      <c r="H83">
        <v>275000</v>
      </c>
      <c r="I83">
        <v>27500</v>
      </c>
    </row>
    <row r="84" spans="1:9" x14ac:dyDescent="0.3">
      <c r="A84" t="s">
        <v>114</v>
      </c>
      <c r="B84" s="1">
        <v>46033</v>
      </c>
      <c r="C84" t="s">
        <v>26</v>
      </c>
      <c r="D84" t="s">
        <v>15</v>
      </c>
      <c r="E84" t="s">
        <v>24</v>
      </c>
      <c r="F84">
        <v>3</v>
      </c>
      <c r="G84">
        <v>0.05</v>
      </c>
      <c r="H84">
        <v>7125</v>
      </c>
      <c r="I84">
        <v>1068.75</v>
      </c>
    </row>
    <row r="85" spans="1:9" x14ac:dyDescent="0.3">
      <c r="A85" t="s">
        <v>115</v>
      </c>
      <c r="B85" s="1">
        <v>46114</v>
      </c>
      <c r="C85" t="s">
        <v>56</v>
      </c>
      <c r="D85" t="s">
        <v>15</v>
      </c>
      <c r="E85" t="s">
        <v>37</v>
      </c>
      <c r="F85">
        <v>2</v>
      </c>
      <c r="G85">
        <v>0</v>
      </c>
      <c r="H85">
        <v>110000</v>
      </c>
      <c r="I85">
        <v>11000</v>
      </c>
    </row>
    <row r="86" spans="1:9" x14ac:dyDescent="0.3">
      <c r="A86" t="s">
        <v>116</v>
      </c>
      <c r="B86" s="1">
        <v>46113</v>
      </c>
      <c r="C86" t="s">
        <v>35</v>
      </c>
      <c r="D86" t="s">
        <v>15</v>
      </c>
      <c r="E86" t="s">
        <v>16</v>
      </c>
      <c r="F86">
        <v>5</v>
      </c>
      <c r="G86">
        <v>0.1</v>
      </c>
      <c r="H86">
        <v>135000</v>
      </c>
      <c r="I86">
        <v>12150</v>
      </c>
    </row>
    <row r="87" spans="1:9" x14ac:dyDescent="0.3">
      <c r="A87" t="s">
        <v>117</v>
      </c>
      <c r="B87" s="1">
        <v>46062</v>
      </c>
      <c r="C87" t="s">
        <v>44</v>
      </c>
      <c r="D87" t="s">
        <v>11</v>
      </c>
      <c r="E87" t="s">
        <v>24</v>
      </c>
      <c r="F87">
        <v>2</v>
      </c>
      <c r="G87">
        <v>0</v>
      </c>
      <c r="H87">
        <v>6400</v>
      </c>
      <c r="I87">
        <v>832</v>
      </c>
    </row>
    <row r="88" spans="1:9" x14ac:dyDescent="0.3">
      <c r="A88" t="s">
        <v>118</v>
      </c>
      <c r="B88" s="1">
        <v>46128</v>
      </c>
      <c r="C88" t="s">
        <v>26</v>
      </c>
      <c r="D88" t="s">
        <v>15</v>
      </c>
      <c r="E88" t="s">
        <v>37</v>
      </c>
      <c r="F88">
        <v>1</v>
      </c>
      <c r="G88">
        <v>0</v>
      </c>
      <c r="H88">
        <v>2500</v>
      </c>
      <c r="I88">
        <v>375</v>
      </c>
    </row>
    <row r="89" spans="1:9" x14ac:dyDescent="0.3">
      <c r="A89" t="s">
        <v>119</v>
      </c>
      <c r="B89" s="1">
        <v>46128</v>
      </c>
      <c r="C89" t="s">
        <v>41</v>
      </c>
      <c r="D89" t="s">
        <v>19</v>
      </c>
      <c r="E89" t="s">
        <v>12</v>
      </c>
      <c r="F89">
        <v>2</v>
      </c>
      <c r="G89">
        <v>0.05</v>
      </c>
      <c r="H89">
        <v>1710</v>
      </c>
      <c r="I89">
        <v>427.5</v>
      </c>
    </row>
    <row r="90" spans="1:9" x14ac:dyDescent="0.3">
      <c r="A90" t="s">
        <v>120</v>
      </c>
      <c r="B90" s="1">
        <v>46050</v>
      </c>
      <c r="C90" t="s">
        <v>44</v>
      </c>
      <c r="D90" t="s">
        <v>11</v>
      </c>
      <c r="E90" t="s">
        <v>24</v>
      </c>
      <c r="F90">
        <v>4</v>
      </c>
      <c r="G90">
        <v>0</v>
      </c>
      <c r="H90">
        <v>12800</v>
      </c>
      <c r="I90">
        <v>1664</v>
      </c>
    </row>
    <row r="91" spans="1:9" x14ac:dyDescent="0.3">
      <c r="A91" t="s">
        <v>121</v>
      </c>
      <c r="B91" s="1">
        <v>46079</v>
      </c>
      <c r="C91" t="s">
        <v>23</v>
      </c>
      <c r="D91" t="s">
        <v>19</v>
      </c>
      <c r="E91" t="s">
        <v>27</v>
      </c>
      <c r="F91">
        <v>2</v>
      </c>
      <c r="G91">
        <v>0.1</v>
      </c>
      <c r="H91">
        <v>2880</v>
      </c>
      <c r="I91">
        <v>576</v>
      </c>
    </row>
    <row r="92" spans="1:9" x14ac:dyDescent="0.3">
      <c r="A92" t="s">
        <v>122</v>
      </c>
      <c r="B92" s="1">
        <v>46081</v>
      </c>
      <c r="C92" t="s">
        <v>32</v>
      </c>
      <c r="D92" t="s">
        <v>19</v>
      </c>
      <c r="E92" t="s">
        <v>37</v>
      </c>
      <c r="F92">
        <v>2</v>
      </c>
      <c r="G92">
        <v>0</v>
      </c>
      <c r="H92">
        <v>7000</v>
      </c>
      <c r="I92">
        <v>1400</v>
      </c>
    </row>
    <row r="93" spans="1:9" x14ac:dyDescent="0.3">
      <c r="A93" t="s">
        <v>123</v>
      </c>
      <c r="B93" s="1">
        <v>46125</v>
      </c>
      <c r="C93" t="s">
        <v>14</v>
      </c>
      <c r="D93" t="s">
        <v>15</v>
      </c>
      <c r="E93" t="s">
        <v>24</v>
      </c>
      <c r="F93">
        <v>3</v>
      </c>
      <c r="G93">
        <v>0.05</v>
      </c>
      <c r="H93">
        <v>5130</v>
      </c>
      <c r="I93">
        <v>923.4</v>
      </c>
    </row>
    <row r="94" spans="1:9" x14ac:dyDescent="0.3">
      <c r="A94" t="s">
        <v>124</v>
      </c>
      <c r="B94" s="1">
        <v>46094</v>
      </c>
      <c r="C94" t="s">
        <v>35</v>
      </c>
      <c r="D94" t="s">
        <v>15</v>
      </c>
      <c r="E94" t="s">
        <v>37</v>
      </c>
      <c r="F94">
        <v>3</v>
      </c>
      <c r="G94">
        <v>0.1</v>
      </c>
      <c r="H94">
        <v>81000</v>
      </c>
      <c r="I94">
        <v>7290</v>
      </c>
    </row>
    <row r="95" spans="1:9" x14ac:dyDescent="0.3">
      <c r="A95" t="s">
        <v>125</v>
      </c>
      <c r="B95" s="1">
        <v>46107</v>
      </c>
      <c r="C95" t="s">
        <v>69</v>
      </c>
      <c r="D95" t="s">
        <v>50</v>
      </c>
      <c r="E95" t="s">
        <v>27</v>
      </c>
      <c r="F95">
        <v>1</v>
      </c>
      <c r="G95">
        <v>0</v>
      </c>
      <c r="H95">
        <v>8500</v>
      </c>
      <c r="I95">
        <v>1020</v>
      </c>
    </row>
    <row r="96" spans="1:9" x14ac:dyDescent="0.3">
      <c r="A96" t="s">
        <v>126</v>
      </c>
      <c r="B96" s="1">
        <v>46171</v>
      </c>
      <c r="C96" t="s">
        <v>26</v>
      </c>
      <c r="D96" t="s">
        <v>15</v>
      </c>
      <c r="E96" t="s">
        <v>29</v>
      </c>
      <c r="F96">
        <v>3</v>
      </c>
      <c r="G96">
        <v>0</v>
      </c>
      <c r="H96">
        <v>7500</v>
      </c>
      <c r="I96">
        <v>1125</v>
      </c>
    </row>
    <row r="97" spans="1:9" x14ac:dyDescent="0.3">
      <c r="A97" t="s">
        <v>127</v>
      </c>
      <c r="B97" s="1">
        <v>46134</v>
      </c>
      <c r="C97" t="s">
        <v>49</v>
      </c>
      <c r="D97" t="s">
        <v>50</v>
      </c>
      <c r="E97" t="s">
        <v>33</v>
      </c>
      <c r="F97">
        <v>3</v>
      </c>
      <c r="G97">
        <v>0.05</v>
      </c>
      <c r="H97">
        <v>19950</v>
      </c>
      <c r="I97">
        <v>2793</v>
      </c>
    </row>
    <row r="98" spans="1:9" x14ac:dyDescent="0.3">
      <c r="A98" t="s">
        <v>128</v>
      </c>
      <c r="B98" s="1">
        <v>46153</v>
      </c>
      <c r="C98" t="s">
        <v>49</v>
      </c>
      <c r="D98" t="s">
        <v>50</v>
      </c>
      <c r="E98" t="s">
        <v>16</v>
      </c>
      <c r="F98">
        <v>1</v>
      </c>
      <c r="G98">
        <v>0.1</v>
      </c>
      <c r="H98">
        <v>6300</v>
      </c>
      <c r="I98">
        <v>882</v>
      </c>
    </row>
    <row r="99" spans="1:9" x14ac:dyDescent="0.3">
      <c r="A99" t="s">
        <v>129</v>
      </c>
      <c r="B99" s="1">
        <v>46088</v>
      </c>
      <c r="C99" t="s">
        <v>14</v>
      </c>
      <c r="D99" t="s">
        <v>15</v>
      </c>
      <c r="E99" t="s">
        <v>29</v>
      </c>
      <c r="F99">
        <v>1</v>
      </c>
      <c r="G99">
        <v>0.1</v>
      </c>
      <c r="H99">
        <v>1620</v>
      </c>
      <c r="I99">
        <v>291.60000000000002</v>
      </c>
    </row>
    <row r="100" spans="1:9" x14ac:dyDescent="0.3">
      <c r="A100" t="s">
        <v>130</v>
      </c>
      <c r="B100" s="1">
        <v>46160</v>
      </c>
      <c r="C100" t="s">
        <v>69</v>
      </c>
      <c r="D100" t="s">
        <v>50</v>
      </c>
      <c r="E100" t="s">
        <v>33</v>
      </c>
      <c r="F100">
        <v>2</v>
      </c>
      <c r="G100">
        <v>0.05</v>
      </c>
      <c r="H100">
        <v>16150</v>
      </c>
      <c r="I100">
        <v>1938</v>
      </c>
    </row>
    <row r="101" spans="1:9" x14ac:dyDescent="0.3">
      <c r="A101" t="s">
        <v>131</v>
      </c>
      <c r="B101" s="1">
        <v>46193</v>
      </c>
      <c r="C101" t="s">
        <v>35</v>
      </c>
      <c r="D101" t="s">
        <v>15</v>
      </c>
      <c r="E101" t="s">
        <v>37</v>
      </c>
      <c r="F101">
        <v>3</v>
      </c>
      <c r="G101">
        <v>0.05</v>
      </c>
      <c r="H101">
        <v>85500</v>
      </c>
      <c r="I101">
        <v>7695</v>
      </c>
    </row>
    <row r="102" spans="1:9" x14ac:dyDescent="0.3">
      <c r="A102" t="s">
        <v>132</v>
      </c>
      <c r="B102" s="1">
        <v>46099</v>
      </c>
      <c r="C102" t="s">
        <v>35</v>
      </c>
      <c r="D102" t="s">
        <v>15</v>
      </c>
      <c r="E102" t="s">
        <v>37</v>
      </c>
      <c r="F102">
        <v>5</v>
      </c>
      <c r="G102">
        <v>0.05</v>
      </c>
      <c r="H102">
        <v>142500</v>
      </c>
      <c r="I102">
        <v>12825</v>
      </c>
    </row>
    <row r="103" spans="1:9" x14ac:dyDescent="0.3">
      <c r="A103" t="s">
        <v>133</v>
      </c>
      <c r="B103" s="1">
        <v>46106</v>
      </c>
      <c r="C103" t="s">
        <v>18</v>
      </c>
      <c r="D103" t="s">
        <v>19</v>
      </c>
      <c r="E103" t="s">
        <v>16</v>
      </c>
      <c r="F103">
        <v>4</v>
      </c>
      <c r="G103">
        <v>0.05</v>
      </c>
      <c r="H103">
        <v>6840</v>
      </c>
      <c r="I103">
        <v>1504.8</v>
      </c>
    </row>
    <row r="104" spans="1:9" x14ac:dyDescent="0.3">
      <c r="A104" t="s">
        <v>134</v>
      </c>
      <c r="B104" s="1">
        <v>46072</v>
      </c>
      <c r="C104" t="s">
        <v>26</v>
      </c>
      <c r="D104" t="s">
        <v>15</v>
      </c>
      <c r="E104" t="s">
        <v>37</v>
      </c>
      <c r="F104">
        <v>4</v>
      </c>
      <c r="G104">
        <v>0.1</v>
      </c>
      <c r="H104">
        <v>9000</v>
      </c>
      <c r="I104">
        <v>1350</v>
      </c>
    </row>
    <row r="105" spans="1:9" x14ac:dyDescent="0.3">
      <c r="A105" t="s">
        <v>135</v>
      </c>
      <c r="B105" s="1">
        <v>46067</v>
      </c>
      <c r="C105" t="s">
        <v>44</v>
      </c>
      <c r="D105" t="s">
        <v>11</v>
      </c>
      <c r="E105" t="s">
        <v>33</v>
      </c>
      <c r="F105">
        <v>5</v>
      </c>
      <c r="G105">
        <v>0.05</v>
      </c>
      <c r="H105">
        <v>15200</v>
      </c>
      <c r="I105">
        <v>1976</v>
      </c>
    </row>
    <row r="106" spans="1:9" x14ac:dyDescent="0.3">
      <c r="A106" t="s">
        <v>136</v>
      </c>
      <c r="B106" s="1">
        <v>46023</v>
      </c>
      <c r="C106" t="s">
        <v>69</v>
      </c>
      <c r="D106" t="s">
        <v>50</v>
      </c>
      <c r="E106" t="s">
        <v>12</v>
      </c>
      <c r="F106">
        <v>3</v>
      </c>
      <c r="G106">
        <v>0.05</v>
      </c>
      <c r="H106">
        <v>24225</v>
      </c>
      <c r="I106">
        <v>2907</v>
      </c>
    </row>
    <row r="107" spans="1:9" x14ac:dyDescent="0.3">
      <c r="A107" t="s">
        <v>137</v>
      </c>
      <c r="B107" s="1">
        <v>46171</v>
      </c>
      <c r="C107" t="s">
        <v>18</v>
      </c>
      <c r="D107" t="s">
        <v>19</v>
      </c>
      <c r="E107" t="s">
        <v>33</v>
      </c>
      <c r="F107">
        <v>5</v>
      </c>
      <c r="G107">
        <v>0.05</v>
      </c>
      <c r="H107">
        <v>8550</v>
      </c>
      <c r="I107">
        <v>1881</v>
      </c>
    </row>
    <row r="108" spans="1:9" x14ac:dyDescent="0.3">
      <c r="A108" t="s">
        <v>138</v>
      </c>
      <c r="B108" s="1">
        <v>46136</v>
      </c>
      <c r="C108" t="s">
        <v>23</v>
      </c>
      <c r="D108" t="s">
        <v>19</v>
      </c>
      <c r="E108" t="s">
        <v>24</v>
      </c>
      <c r="F108">
        <v>2</v>
      </c>
      <c r="G108">
        <v>0.1</v>
      </c>
      <c r="H108">
        <v>2880</v>
      </c>
      <c r="I108">
        <v>576</v>
      </c>
    </row>
    <row r="109" spans="1:9" x14ac:dyDescent="0.3">
      <c r="A109" t="s">
        <v>139</v>
      </c>
      <c r="B109" s="1">
        <v>46066</v>
      </c>
      <c r="C109" t="s">
        <v>44</v>
      </c>
      <c r="D109" t="s">
        <v>11</v>
      </c>
      <c r="E109" t="s">
        <v>16</v>
      </c>
      <c r="F109">
        <v>1</v>
      </c>
      <c r="G109">
        <v>0.05</v>
      </c>
      <c r="H109">
        <v>3040</v>
      </c>
      <c r="I109">
        <v>395.2</v>
      </c>
    </row>
    <row r="110" spans="1:9" x14ac:dyDescent="0.3">
      <c r="A110" t="s">
        <v>140</v>
      </c>
      <c r="B110" s="1">
        <v>46185</v>
      </c>
      <c r="C110" t="s">
        <v>10</v>
      </c>
      <c r="D110" t="s">
        <v>11</v>
      </c>
      <c r="E110" t="s">
        <v>29</v>
      </c>
      <c r="F110">
        <v>5</v>
      </c>
      <c r="G110">
        <v>0.05</v>
      </c>
      <c r="H110">
        <v>21375</v>
      </c>
      <c r="I110">
        <v>3420</v>
      </c>
    </row>
    <row r="111" spans="1:9" x14ac:dyDescent="0.3">
      <c r="A111" t="s">
        <v>141</v>
      </c>
      <c r="B111" s="1">
        <v>46195</v>
      </c>
      <c r="C111" t="s">
        <v>14</v>
      </c>
      <c r="D111" t="s">
        <v>15</v>
      </c>
      <c r="E111" t="s">
        <v>24</v>
      </c>
      <c r="F111">
        <v>3</v>
      </c>
      <c r="G111">
        <v>0</v>
      </c>
      <c r="H111">
        <v>5400</v>
      </c>
      <c r="I111">
        <v>972</v>
      </c>
    </row>
    <row r="112" spans="1:9" x14ac:dyDescent="0.3">
      <c r="A112" t="s">
        <v>142</v>
      </c>
      <c r="B112" s="1">
        <v>46060</v>
      </c>
      <c r="C112" t="s">
        <v>14</v>
      </c>
      <c r="D112" t="s">
        <v>15</v>
      </c>
      <c r="E112" t="s">
        <v>12</v>
      </c>
      <c r="F112">
        <v>1</v>
      </c>
      <c r="G112">
        <v>0</v>
      </c>
      <c r="H112">
        <v>1800</v>
      </c>
      <c r="I112">
        <v>324</v>
      </c>
    </row>
    <row r="113" spans="1:9" x14ac:dyDescent="0.3">
      <c r="A113" t="s">
        <v>143</v>
      </c>
      <c r="B113" s="1">
        <v>46179</v>
      </c>
      <c r="C113" t="s">
        <v>23</v>
      </c>
      <c r="D113" t="s">
        <v>19</v>
      </c>
      <c r="E113" t="s">
        <v>33</v>
      </c>
      <c r="F113">
        <v>1</v>
      </c>
      <c r="G113">
        <v>0.1</v>
      </c>
      <c r="H113">
        <v>1440</v>
      </c>
      <c r="I113">
        <v>288</v>
      </c>
    </row>
    <row r="114" spans="1:9" x14ac:dyDescent="0.3">
      <c r="A114" t="s">
        <v>144</v>
      </c>
      <c r="B114" s="1">
        <v>46170</v>
      </c>
      <c r="C114" t="s">
        <v>10</v>
      </c>
      <c r="D114" t="s">
        <v>11</v>
      </c>
      <c r="E114" t="s">
        <v>33</v>
      </c>
      <c r="F114">
        <v>2</v>
      </c>
      <c r="G114">
        <v>0.1</v>
      </c>
      <c r="H114">
        <v>8100</v>
      </c>
      <c r="I114">
        <v>1296</v>
      </c>
    </row>
    <row r="115" spans="1:9" x14ac:dyDescent="0.3">
      <c r="A115" t="s">
        <v>145</v>
      </c>
      <c r="B115" s="1">
        <v>46085</v>
      </c>
      <c r="C115" t="s">
        <v>18</v>
      </c>
      <c r="D115" t="s">
        <v>19</v>
      </c>
      <c r="E115" t="s">
        <v>24</v>
      </c>
      <c r="F115">
        <v>2</v>
      </c>
      <c r="G115">
        <v>0</v>
      </c>
      <c r="H115">
        <v>3600</v>
      </c>
      <c r="I115">
        <v>792</v>
      </c>
    </row>
    <row r="116" spans="1:9" x14ac:dyDescent="0.3">
      <c r="A116" t="s">
        <v>146</v>
      </c>
      <c r="B116" s="1">
        <v>46131</v>
      </c>
      <c r="C116" t="s">
        <v>35</v>
      </c>
      <c r="D116" t="s">
        <v>15</v>
      </c>
      <c r="E116" t="s">
        <v>24</v>
      </c>
      <c r="F116">
        <v>2</v>
      </c>
      <c r="G116">
        <v>0</v>
      </c>
      <c r="H116">
        <v>60000</v>
      </c>
      <c r="I116">
        <v>5400</v>
      </c>
    </row>
    <row r="117" spans="1:9" x14ac:dyDescent="0.3">
      <c r="A117" t="s">
        <v>147</v>
      </c>
      <c r="B117" s="1">
        <v>46155</v>
      </c>
      <c r="C117" t="s">
        <v>44</v>
      </c>
      <c r="D117" t="s">
        <v>11</v>
      </c>
      <c r="E117" t="s">
        <v>16</v>
      </c>
      <c r="F117">
        <v>4</v>
      </c>
      <c r="G117">
        <v>0</v>
      </c>
      <c r="H117">
        <v>12800</v>
      </c>
      <c r="I117">
        <v>1664</v>
      </c>
    </row>
    <row r="118" spans="1:9" x14ac:dyDescent="0.3">
      <c r="A118" t="s">
        <v>148</v>
      </c>
      <c r="B118" s="1">
        <v>46054</v>
      </c>
      <c r="C118" t="s">
        <v>14</v>
      </c>
      <c r="D118" t="s">
        <v>15</v>
      </c>
      <c r="E118" t="s">
        <v>24</v>
      </c>
      <c r="F118">
        <v>4</v>
      </c>
      <c r="G118">
        <v>0</v>
      </c>
      <c r="H118">
        <v>7200</v>
      </c>
      <c r="I118">
        <v>1296</v>
      </c>
    </row>
    <row r="119" spans="1:9" x14ac:dyDescent="0.3">
      <c r="A119" t="s">
        <v>149</v>
      </c>
      <c r="B119" s="1">
        <v>46193</v>
      </c>
      <c r="C119" t="s">
        <v>23</v>
      </c>
      <c r="D119" t="s">
        <v>19</v>
      </c>
      <c r="E119" t="s">
        <v>24</v>
      </c>
      <c r="F119">
        <v>5</v>
      </c>
      <c r="G119">
        <v>0.05</v>
      </c>
      <c r="H119">
        <v>7600</v>
      </c>
      <c r="I119">
        <v>1520</v>
      </c>
    </row>
    <row r="120" spans="1:9" x14ac:dyDescent="0.3">
      <c r="A120" t="s">
        <v>150</v>
      </c>
      <c r="B120" s="1">
        <v>46179</v>
      </c>
      <c r="C120" t="s">
        <v>23</v>
      </c>
      <c r="D120" t="s">
        <v>19</v>
      </c>
      <c r="E120" t="s">
        <v>24</v>
      </c>
      <c r="F120">
        <v>5</v>
      </c>
      <c r="G120">
        <v>0.1</v>
      </c>
      <c r="H120">
        <v>7200</v>
      </c>
      <c r="I120">
        <v>1440</v>
      </c>
    </row>
    <row r="121" spans="1:9" x14ac:dyDescent="0.3">
      <c r="A121" t="s">
        <v>151</v>
      </c>
      <c r="B121" s="1">
        <v>46137</v>
      </c>
      <c r="C121" t="s">
        <v>69</v>
      </c>
      <c r="D121" t="s">
        <v>50</v>
      </c>
      <c r="E121" t="s">
        <v>33</v>
      </c>
      <c r="F121">
        <v>2</v>
      </c>
      <c r="G121">
        <v>0.1</v>
      </c>
      <c r="H121">
        <v>15300</v>
      </c>
      <c r="I121">
        <v>1836</v>
      </c>
    </row>
    <row r="122" spans="1:9" x14ac:dyDescent="0.3">
      <c r="A122" t="s">
        <v>152</v>
      </c>
      <c r="B122" s="1">
        <v>46086</v>
      </c>
      <c r="C122" t="s">
        <v>32</v>
      </c>
      <c r="D122" t="s">
        <v>19</v>
      </c>
      <c r="E122" t="s">
        <v>37</v>
      </c>
      <c r="F122">
        <v>3</v>
      </c>
      <c r="G122">
        <v>0.1</v>
      </c>
      <c r="H122">
        <v>9450</v>
      </c>
      <c r="I122">
        <v>1890</v>
      </c>
    </row>
    <row r="123" spans="1:9" x14ac:dyDescent="0.3">
      <c r="A123" t="s">
        <v>153</v>
      </c>
      <c r="B123" s="1">
        <v>46093</v>
      </c>
      <c r="C123" t="s">
        <v>14</v>
      </c>
      <c r="D123" t="s">
        <v>15</v>
      </c>
      <c r="E123" t="s">
        <v>37</v>
      </c>
      <c r="F123">
        <v>4</v>
      </c>
      <c r="G123">
        <v>0</v>
      </c>
      <c r="H123">
        <v>7200</v>
      </c>
      <c r="I123">
        <v>1296</v>
      </c>
    </row>
    <row r="124" spans="1:9" x14ac:dyDescent="0.3">
      <c r="A124" t="s">
        <v>154</v>
      </c>
      <c r="B124" s="1">
        <v>46083</v>
      </c>
      <c r="C124" t="s">
        <v>32</v>
      </c>
      <c r="D124" t="s">
        <v>19</v>
      </c>
      <c r="E124" t="s">
        <v>27</v>
      </c>
      <c r="F124">
        <v>3</v>
      </c>
      <c r="G124">
        <v>0.05</v>
      </c>
      <c r="H124">
        <v>9975</v>
      </c>
      <c r="I124">
        <v>1995</v>
      </c>
    </row>
    <row r="125" spans="1:9" x14ac:dyDescent="0.3">
      <c r="A125" t="s">
        <v>155</v>
      </c>
      <c r="B125" s="1">
        <v>46043</v>
      </c>
      <c r="C125" t="s">
        <v>69</v>
      </c>
      <c r="D125" t="s">
        <v>50</v>
      </c>
      <c r="E125" t="s">
        <v>12</v>
      </c>
      <c r="F125">
        <v>2</v>
      </c>
      <c r="G125">
        <v>0</v>
      </c>
      <c r="H125">
        <v>17000</v>
      </c>
      <c r="I125">
        <v>2040</v>
      </c>
    </row>
    <row r="126" spans="1:9" x14ac:dyDescent="0.3">
      <c r="A126" t="s">
        <v>156</v>
      </c>
      <c r="B126" s="1">
        <v>46200</v>
      </c>
      <c r="C126" t="s">
        <v>18</v>
      </c>
      <c r="D126" t="s">
        <v>19</v>
      </c>
      <c r="E126" t="s">
        <v>29</v>
      </c>
      <c r="F126">
        <v>2</v>
      </c>
      <c r="G126">
        <v>0</v>
      </c>
      <c r="H126">
        <v>3600</v>
      </c>
      <c r="I126">
        <v>792</v>
      </c>
    </row>
    <row r="127" spans="1:9" x14ac:dyDescent="0.3">
      <c r="A127" t="s">
        <v>157</v>
      </c>
      <c r="B127" s="1">
        <v>46127</v>
      </c>
      <c r="C127" t="s">
        <v>18</v>
      </c>
      <c r="D127" t="s">
        <v>19</v>
      </c>
      <c r="E127" t="s">
        <v>33</v>
      </c>
      <c r="F127">
        <v>3</v>
      </c>
      <c r="G127">
        <v>0.1</v>
      </c>
      <c r="H127">
        <v>4860</v>
      </c>
      <c r="I127">
        <v>1069.2</v>
      </c>
    </row>
    <row r="128" spans="1:9" x14ac:dyDescent="0.3">
      <c r="A128" t="s">
        <v>158</v>
      </c>
      <c r="B128" s="1">
        <v>46075</v>
      </c>
      <c r="C128" t="s">
        <v>56</v>
      </c>
      <c r="D128" t="s">
        <v>15</v>
      </c>
      <c r="E128" t="s">
        <v>24</v>
      </c>
      <c r="F128">
        <v>4</v>
      </c>
      <c r="G128">
        <v>0.1</v>
      </c>
      <c r="H128">
        <v>198000</v>
      </c>
      <c r="I128">
        <v>19800</v>
      </c>
    </row>
    <row r="129" spans="1:9" x14ac:dyDescent="0.3">
      <c r="A129" t="s">
        <v>159</v>
      </c>
      <c r="B129" s="1">
        <v>46201</v>
      </c>
      <c r="C129" t="s">
        <v>49</v>
      </c>
      <c r="D129" t="s">
        <v>50</v>
      </c>
      <c r="E129" t="s">
        <v>33</v>
      </c>
      <c r="F129">
        <v>1</v>
      </c>
      <c r="G129">
        <v>0.1</v>
      </c>
      <c r="H129">
        <v>6300</v>
      </c>
      <c r="I129">
        <v>882</v>
      </c>
    </row>
    <row r="130" spans="1:9" x14ac:dyDescent="0.3">
      <c r="A130" t="s">
        <v>160</v>
      </c>
      <c r="B130" s="1">
        <v>46113</v>
      </c>
      <c r="C130" t="s">
        <v>56</v>
      </c>
      <c r="D130" t="s">
        <v>15</v>
      </c>
      <c r="E130" t="s">
        <v>24</v>
      </c>
      <c r="F130">
        <v>3</v>
      </c>
      <c r="G130">
        <v>0.1</v>
      </c>
      <c r="H130">
        <v>148500</v>
      </c>
      <c r="I130">
        <v>14850</v>
      </c>
    </row>
    <row r="131" spans="1:9" x14ac:dyDescent="0.3">
      <c r="A131" t="s">
        <v>161</v>
      </c>
      <c r="B131" s="1">
        <v>46160</v>
      </c>
      <c r="C131" t="s">
        <v>18</v>
      </c>
      <c r="D131" t="s">
        <v>19</v>
      </c>
      <c r="E131" t="s">
        <v>33</v>
      </c>
      <c r="F131">
        <v>5</v>
      </c>
      <c r="G131">
        <v>0</v>
      </c>
      <c r="H131">
        <v>9000</v>
      </c>
      <c r="I131">
        <v>1980</v>
      </c>
    </row>
    <row r="132" spans="1:9" x14ac:dyDescent="0.3">
      <c r="A132" t="s">
        <v>162</v>
      </c>
      <c r="B132" s="1">
        <v>46092</v>
      </c>
      <c r="C132" t="s">
        <v>14</v>
      </c>
      <c r="D132" t="s">
        <v>15</v>
      </c>
      <c r="E132" t="s">
        <v>29</v>
      </c>
      <c r="F132">
        <v>4</v>
      </c>
      <c r="G132">
        <v>0.1</v>
      </c>
      <c r="H132">
        <v>6480</v>
      </c>
      <c r="I132">
        <v>1166.4000000000001</v>
      </c>
    </row>
    <row r="133" spans="1:9" x14ac:dyDescent="0.3">
      <c r="A133" t="s">
        <v>163</v>
      </c>
      <c r="B133" s="1">
        <v>46109</v>
      </c>
      <c r="C133" t="s">
        <v>18</v>
      </c>
      <c r="D133" t="s">
        <v>19</v>
      </c>
      <c r="E133" t="s">
        <v>24</v>
      </c>
      <c r="F133">
        <v>4</v>
      </c>
      <c r="G133">
        <v>0</v>
      </c>
      <c r="H133">
        <v>7200</v>
      </c>
      <c r="I133">
        <v>1584</v>
      </c>
    </row>
    <row r="134" spans="1:9" x14ac:dyDescent="0.3">
      <c r="A134" t="s">
        <v>164</v>
      </c>
      <c r="B134" s="1">
        <v>46055</v>
      </c>
      <c r="C134" t="s">
        <v>23</v>
      </c>
      <c r="D134" t="s">
        <v>19</v>
      </c>
      <c r="E134" t="s">
        <v>33</v>
      </c>
      <c r="F134">
        <v>5</v>
      </c>
      <c r="G134">
        <v>0</v>
      </c>
      <c r="H134">
        <v>8000</v>
      </c>
      <c r="I134">
        <v>1600</v>
      </c>
    </row>
    <row r="135" spans="1:9" x14ac:dyDescent="0.3">
      <c r="A135" t="s">
        <v>165</v>
      </c>
      <c r="B135" s="1">
        <v>46167</v>
      </c>
      <c r="C135" t="s">
        <v>49</v>
      </c>
      <c r="D135" t="s">
        <v>50</v>
      </c>
      <c r="E135" t="s">
        <v>37</v>
      </c>
      <c r="F135">
        <v>1</v>
      </c>
      <c r="G135">
        <v>0</v>
      </c>
      <c r="H135">
        <v>7000</v>
      </c>
      <c r="I135">
        <v>980</v>
      </c>
    </row>
    <row r="136" spans="1:9" x14ac:dyDescent="0.3">
      <c r="A136" t="s">
        <v>166</v>
      </c>
      <c r="B136" s="1">
        <v>46057</v>
      </c>
      <c r="C136" t="s">
        <v>18</v>
      </c>
      <c r="D136" t="s">
        <v>19</v>
      </c>
      <c r="E136" t="s">
        <v>29</v>
      </c>
      <c r="F136">
        <v>4</v>
      </c>
      <c r="G136">
        <v>0</v>
      </c>
      <c r="H136">
        <v>7200</v>
      </c>
      <c r="I136">
        <v>1584</v>
      </c>
    </row>
    <row r="137" spans="1:9" x14ac:dyDescent="0.3">
      <c r="A137" t="s">
        <v>167</v>
      </c>
      <c r="B137" s="1">
        <v>46120</v>
      </c>
      <c r="C137" t="s">
        <v>32</v>
      </c>
      <c r="D137" t="s">
        <v>19</v>
      </c>
      <c r="E137" t="s">
        <v>33</v>
      </c>
      <c r="F137">
        <v>3</v>
      </c>
      <c r="G137">
        <v>0</v>
      </c>
      <c r="H137">
        <v>10500</v>
      </c>
      <c r="I137">
        <v>2100</v>
      </c>
    </row>
    <row r="138" spans="1:9" x14ac:dyDescent="0.3">
      <c r="A138" t="s">
        <v>168</v>
      </c>
      <c r="B138" s="1">
        <v>46109</v>
      </c>
      <c r="C138" t="s">
        <v>41</v>
      </c>
      <c r="D138" t="s">
        <v>19</v>
      </c>
      <c r="E138" t="s">
        <v>24</v>
      </c>
      <c r="F138">
        <v>4</v>
      </c>
      <c r="G138">
        <v>0.05</v>
      </c>
      <c r="H138">
        <v>3420</v>
      </c>
      <c r="I138">
        <v>855</v>
      </c>
    </row>
    <row r="139" spans="1:9" x14ac:dyDescent="0.3">
      <c r="A139" t="s">
        <v>169</v>
      </c>
      <c r="B139" s="1">
        <v>46087</v>
      </c>
      <c r="C139" t="s">
        <v>18</v>
      </c>
      <c r="D139" t="s">
        <v>19</v>
      </c>
      <c r="E139" t="s">
        <v>29</v>
      </c>
      <c r="F139">
        <v>1</v>
      </c>
      <c r="G139">
        <v>0.1</v>
      </c>
      <c r="H139">
        <v>1620</v>
      </c>
      <c r="I139">
        <v>356.4</v>
      </c>
    </row>
    <row r="140" spans="1:9" x14ac:dyDescent="0.3">
      <c r="A140" t="s">
        <v>170</v>
      </c>
      <c r="B140" s="1">
        <v>46161</v>
      </c>
      <c r="C140" t="s">
        <v>44</v>
      </c>
      <c r="D140" t="s">
        <v>11</v>
      </c>
      <c r="E140" t="s">
        <v>12</v>
      </c>
      <c r="F140">
        <v>1</v>
      </c>
      <c r="G140">
        <v>0.05</v>
      </c>
      <c r="H140">
        <v>3040</v>
      </c>
      <c r="I140">
        <v>395.2</v>
      </c>
    </row>
    <row r="141" spans="1:9" x14ac:dyDescent="0.3">
      <c r="A141" t="s">
        <v>171</v>
      </c>
      <c r="B141" s="1">
        <v>46040</v>
      </c>
      <c r="C141" t="s">
        <v>10</v>
      </c>
      <c r="D141" t="s">
        <v>11</v>
      </c>
      <c r="E141" t="s">
        <v>12</v>
      </c>
      <c r="F141">
        <v>1</v>
      </c>
      <c r="G141">
        <v>0</v>
      </c>
      <c r="H141">
        <v>4500</v>
      </c>
      <c r="I141">
        <v>720</v>
      </c>
    </row>
    <row r="142" spans="1:9" x14ac:dyDescent="0.3">
      <c r="A142" t="s">
        <v>172</v>
      </c>
      <c r="B142" s="1">
        <v>46028</v>
      </c>
      <c r="C142" t="s">
        <v>14</v>
      </c>
      <c r="D142" t="s">
        <v>15</v>
      </c>
      <c r="E142" t="s">
        <v>12</v>
      </c>
      <c r="F142">
        <v>5</v>
      </c>
      <c r="G142">
        <v>0</v>
      </c>
      <c r="H142">
        <v>9000</v>
      </c>
      <c r="I142">
        <v>1620</v>
      </c>
    </row>
    <row r="143" spans="1:9" x14ac:dyDescent="0.3">
      <c r="A143" t="s">
        <v>173</v>
      </c>
      <c r="B143" s="1">
        <v>46144</v>
      </c>
      <c r="C143" t="s">
        <v>26</v>
      </c>
      <c r="D143" t="s">
        <v>15</v>
      </c>
      <c r="E143" t="s">
        <v>33</v>
      </c>
      <c r="F143">
        <v>1</v>
      </c>
      <c r="G143">
        <v>0</v>
      </c>
      <c r="H143">
        <v>2500</v>
      </c>
      <c r="I143">
        <v>375</v>
      </c>
    </row>
    <row r="144" spans="1:9" x14ac:dyDescent="0.3">
      <c r="A144" t="s">
        <v>174</v>
      </c>
      <c r="B144" s="1">
        <v>46088</v>
      </c>
      <c r="C144" t="s">
        <v>44</v>
      </c>
      <c r="D144" t="s">
        <v>11</v>
      </c>
      <c r="E144" t="s">
        <v>16</v>
      </c>
      <c r="F144">
        <v>3</v>
      </c>
      <c r="G144">
        <v>0</v>
      </c>
      <c r="H144">
        <v>9600</v>
      </c>
      <c r="I144">
        <v>1248</v>
      </c>
    </row>
    <row r="145" spans="1:9" x14ac:dyDescent="0.3">
      <c r="A145" t="s">
        <v>175</v>
      </c>
      <c r="B145" s="1">
        <v>46052</v>
      </c>
      <c r="C145" t="s">
        <v>49</v>
      </c>
      <c r="D145" t="s">
        <v>50</v>
      </c>
      <c r="E145" t="s">
        <v>29</v>
      </c>
      <c r="F145">
        <v>2</v>
      </c>
      <c r="G145">
        <v>0.05</v>
      </c>
      <c r="H145">
        <v>13300</v>
      </c>
      <c r="I145">
        <v>1862</v>
      </c>
    </row>
    <row r="146" spans="1:9" x14ac:dyDescent="0.3">
      <c r="A146" t="s">
        <v>176</v>
      </c>
      <c r="B146" s="1">
        <v>46029</v>
      </c>
      <c r="C146" t="s">
        <v>49</v>
      </c>
      <c r="D146" t="s">
        <v>50</v>
      </c>
      <c r="E146" t="s">
        <v>33</v>
      </c>
      <c r="F146">
        <v>3</v>
      </c>
      <c r="G146">
        <v>0.1</v>
      </c>
      <c r="H146">
        <v>18900</v>
      </c>
      <c r="I146">
        <v>2646</v>
      </c>
    </row>
    <row r="147" spans="1:9" x14ac:dyDescent="0.3">
      <c r="A147" t="s">
        <v>177</v>
      </c>
      <c r="B147" s="1">
        <v>46073</v>
      </c>
      <c r="C147" t="s">
        <v>44</v>
      </c>
      <c r="D147" t="s">
        <v>11</v>
      </c>
      <c r="E147" t="s">
        <v>29</v>
      </c>
      <c r="F147">
        <v>1</v>
      </c>
      <c r="G147">
        <v>0</v>
      </c>
      <c r="H147">
        <v>3200</v>
      </c>
      <c r="I147">
        <v>416</v>
      </c>
    </row>
    <row r="148" spans="1:9" x14ac:dyDescent="0.3">
      <c r="A148" t="s">
        <v>178</v>
      </c>
      <c r="B148" s="1">
        <v>46100</v>
      </c>
      <c r="C148" t="s">
        <v>44</v>
      </c>
      <c r="D148" t="s">
        <v>11</v>
      </c>
      <c r="E148" t="s">
        <v>24</v>
      </c>
      <c r="F148">
        <v>5</v>
      </c>
      <c r="G148">
        <v>0</v>
      </c>
      <c r="H148">
        <v>16000</v>
      </c>
      <c r="I148">
        <v>2080</v>
      </c>
    </row>
    <row r="149" spans="1:9" x14ac:dyDescent="0.3">
      <c r="A149" t="s">
        <v>179</v>
      </c>
      <c r="B149" s="1">
        <v>46033</v>
      </c>
      <c r="C149" t="s">
        <v>49</v>
      </c>
      <c r="D149" t="s">
        <v>50</v>
      </c>
      <c r="E149" t="s">
        <v>37</v>
      </c>
      <c r="F149">
        <v>3</v>
      </c>
      <c r="G149">
        <v>0.1</v>
      </c>
      <c r="H149">
        <v>18900</v>
      </c>
      <c r="I149">
        <v>2646</v>
      </c>
    </row>
    <row r="150" spans="1:9" x14ac:dyDescent="0.3">
      <c r="A150" t="s">
        <v>180</v>
      </c>
      <c r="B150" s="1">
        <v>46040</v>
      </c>
      <c r="C150" t="s">
        <v>41</v>
      </c>
      <c r="D150" t="s">
        <v>19</v>
      </c>
      <c r="E150" t="s">
        <v>29</v>
      </c>
      <c r="F150">
        <v>5</v>
      </c>
      <c r="G150">
        <v>0.05</v>
      </c>
      <c r="H150">
        <v>4275</v>
      </c>
      <c r="I150">
        <v>1068.75</v>
      </c>
    </row>
    <row r="151" spans="1:9" x14ac:dyDescent="0.3">
      <c r="A151" t="s">
        <v>181</v>
      </c>
      <c r="B151" s="1">
        <v>46148</v>
      </c>
      <c r="C151" t="s">
        <v>18</v>
      </c>
      <c r="D151" t="s">
        <v>19</v>
      </c>
      <c r="E151" t="s">
        <v>27</v>
      </c>
      <c r="F151">
        <v>1</v>
      </c>
      <c r="G151">
        <v>0.1</v>
      </c>
      <c r="H151">
        <v>1620</v>
      </c>
      <c r="I151">
        <v>356.4</v>
      </c>
    </row>
    <row r="152" spans="1:9" x14ac:dyDescent="0.3">
      <c r="A152" t="s">
        <v>182</v>
      </c>
      <c r="B152" s="1">
        <v>46140</v>
      </c>
      <c r="C152" t="s">
        <v>10</v>
      </c>
      <c r="D152" t="s">
        <v>11</v>
      </c>
      <c r="E152" t="s">
        <v>12</v>
      </c>
      <c r="F152">
        <v>2</v>
      </c>
      <c r="G152">
        <v>0.1</v>
      </c>
      <c r="H152">
        <v>8100</v>
      </c>
      <c r="I152">
        <v>1296</v>
      </c>
    </row>
    <row r="153" spans="1:9" x14ac:dyDescent="0.3">
      <c r="A153" t="s">
        <v>183</v>
      </c>
      <c r="B153" s="1">
        <v>46156</v>
      </c>
      <c r="C153" t="s">
        <v>44</v>
      </c>
      <c r="D153" t="s">
        <v>11</v>
      </c>
      <c r="E153" t="s">
        <v>33</v>
      </c>
      <c r="F153">
        <v>3</v>
      </c>
      <c r="G153">
        <v>0.1</v>
      </c>
      <c r="H153">
        <v>8640</v>
      </c>
      <c r="I153">
        <v>1123.2</v>
      </c>
    </row>
    <row r="154" spans="1:9" x14ac:dyDescent="0.3">
      <c r="A154" t="s">
        <v>184</v>
      </c>
      <c r="B154" s="1">
        <v>46174</v>
      </c>
      <c r="C154" t="s">
        <v>18</v>
      </c>
      <c r="D154" t="s">
        <v>19</v>
      </c>
      <c r="E154" t="s">
        <v>24</v>
      </c>
      <c r="F154">
        <v>3</v>
      </c>
      <c r="G154">
        <v>0.05</v>
      </c>
      <c r="H154">
        <v>5130</v>
      </c>
      <c r="I154">
        <v>1128.5999999999999</v>
      </c>
    </row>
    <row r="155" spans="1:9" x14ac:dyDescent="0.3">
      <c r="A155" t="s">
        <v>185</v>
      </c>
      <c r="B155" s="1">
        <v>46045</v>
      </c>
      <c r="C155" t="s">
        <v>14</v>
      </c>
      <c r="D155" t="s">
        <v>15</v>
      </c>
      <c r="E155" t="s">
        <v>12</v>
      </c>
      <c r="F155">
        <v>3</v>
      </c>
      <c r="G155">
        <v>0.1</v>
      </c>
      <c r="H155">
        <v>4860</v>
      </c>
      <c r="I155">
        <v>874.8</v>
      </c>
    </row>
    <row r="156" spans="1:9" x14ac:dyDescent="0.3">
      <c r="A156" t="s">
        <v>186</v>
      </c>
      <c r="B156" s="1">
        <v>46168</v>
      </c>
      <c r="C156" t="s">
        <v>23</v>
      </c>
      <c r="D156" t="s">
        <v>19</v>
      </c>
      <c r="E156" t="s">
        <v>27</v>
      </c>
      <c r="F156">
        <v>5</v>
      </c>
      <c r="G156">
        <v>0.1</v>
      </c>
      <c r="H156">
        <v>7200</v>
      </c>
      <c r="I156">
        <v>1440</v>
      </c>
    </row>
    <row r="157" spans="1:9" x14ac:dyDescent="0.3">
      <c r="A157" t="s">
        <v>187</v>
      </c>
      <c r="B157" s="1">
        <v>46149</v>
      </c>
      <c r="C157" t="s">
        <v>56</v>
      </c>
      <c r="D157" t="s">
        <v>15</v>
      </c>
      <c r="E157" t="s">
        <v>33</v>
      </c>
      <c r="F157">
        <v>3</v>
      </c>
      <c r="G157">
        <v>0</v>
      </c>
      <c r="H157">
        <v>165000</v>
      </c>
      <c r="I157">
        <v>16500</v>
      </c>
    </row>
    <row r="158" spans="1:9" x14ac:dyDescent="0.3">
      <c r="A158" t="s">
        <v>188</v>
      </c>
      <c r="B158" s="1">
        <v>46113</v>
      </c>
      <c r="C158" t="s">
        <v>14</v>
      </c>
      <c r="D158" t="s">
        <v>15</v>
      </c>
      <c r="E158" t="s">
        <v>27</v>
      </c>
      <c r="F158">
        <v>3</v>
      </c>
      <c r="G158">
        <v>0.05</v>
      </c>
      <c r="H158">
        <v>5130</v>
      </c>
      <c r="I158">
        <v>923.4</v>
      </c>
    </row>
    <row r="159" spans="1:9" x14ac:dyDescent="0.3">
      <c r="A159" t="s">
        <v>189</v>
      </c>
      <c r="B159" s="1">
        <v>46202</v>
      </c>
      <c r="C159" t="s">
        <v>49</v>
      </c>
      <c r="D159" t="s">
        <v>50</v>
      </c>
      <c r="E159" t="s">
        <v>16</v>
      </c>
      <c r="F159">
        <v>3</v>
      </c>
      <c r="G159">
        <v>0</v>
      </c>
      <c r="H159">
        <v>21000</v>
      </c>
      <c r="I159">
        <v>2940</v>
      </c>
    </row>
    <row r="160" spans="1:9" x14ac:dyDescent="0.3">
      <c r="A160" t="s">
        <v>190</v>
      </c>
      <c r="B160" s="1">
        <v>46044</v>
      </c>
      <c r="C160" t="s">
        <v>14</v>
      </c>
      <c r="D160" t="s">
        <v>15</v>
      </c>
      <c r="E160" t="s">
        <v>33</v>
      </c>
      <c r="F160">
        <v>2</v>
      </c>
      <c r="G160">
        <v>0.1</v>
      </c>
      <c r="H160">
        <v>3240</v>
      </c>
      <c r="I160">
        <v>583.20000000000005</v>
      </c>
    </row>
    <row r="161" spans="1:9" x14ac:dyDescent="0.3">
      <c r="A161" t="s">
        <v>191</v>
      </c>
      <c r="B161" s="1">
        <v>46084</v>
      </c>
      <c r="C161" t="s">
        <v>69</v>
      </c>
      <c r="D161" t="s">
        <v>50</v>
      </c>
      <c r="E161" t="s">
        <v>33</v>
      </c>
      <c r="F161">
        <v>4</v>
      </c>
      <c r="G161">
        <v>0.1</v>
      </c>
      <c r="H161">
        <v>30600</v>
      </c>
      <c r="I161">
        <v>3672</v>
      </c>
    </row>
    <row r="162" spans="1:9" x14ac:dyDescent="0.3">
      <c r="A162" t="s">
        <v>192</v>
      </c>
      <c r="B162" s="1">
        <v>46046</v>
      </c>
      <c r="C162" t="s">
        <v>56</v>
      </c>
      <c r="D162" t="s">
        <v>15</v>
      </c>
      <c r="E162" t="s">
        <v>33</v>
      </c>
      <c r="F162">
        <v>3</v>
      </c>
      <c r="G162">
        <v>0</v>
      </c>
      <c r="H162">
        <v>165000</v>
      </c>
      <c r="I162">
        <v>16500</v>
      </c>
    </row>
    <row r="163" spans="1:9" x14ac:dyDescent="0.3">
      <c r="A163" t="s">
        <v>193</v>
      </c>
      <c r="B163" s="1">
        <v>46085</v>
      </c>
      <c r="C163" t="s">
        <v>44</v>
      </c>
      <c r="D163" t="s">
        <v>11</v>
      </c>
      <c r="E163" t="s">
        <v>33</v>
      </c>
      <c r="F163">
        <v>3</v>
      </c>
      <c r="G163">
        <v>0.05</v>
      </c>
      <c r="H163">
        <v>9120</v>
      </c>
      <c r="I163">
        <v>1185.5999999999999</v>
      </c>
    </row>
    <row r="164" spans="1:9" x14ac:dyDescent="0.3">
      <c r="A164" t="s">
        <v>194</v>
      </c>
      <c r="B164" s="1">
        <v>46158</v>
      </c>
      <c r="C164" t="s">
        <v>69</v>
      </c>
      <c r="D164" t="s">
        <v>50</v>
      </c>
      <c r="E164" t="s">
        <v>37</v>
      </c>
      <c r="F164">
        <v>3</v>
      </c>
      <c r="G164">
        <v>0.1</v>
      </c>
      <c r="H164">
        <v>22950</v>
      </c>
      <c r="I164">
        <v>2754</v>
      </c>
    </row>
    <row r="165" spans="1:9" x14ac:dyDescent="0.3">
      <c r="A165" t="s">
        <v>195</v>
      </c>
      <c r="B165" s="1">
        <v>46107</v>
      </c>
      <c r="C165" t="s">
        <v>69</v>
      </c>
      <c r="D165" t="s">
        <v>50</v>
      </c>
      <c r="E165" t="s">
        <v>27</v>
      </c>
      <c r="F165">
        <v>3</v>
      </c>
      <c r="G165">
        <v>0.1</v>
      </c>
      <c r="H165">
        <v>22950</v>
      </c>
      <c r="I165">
        <v>2754</v>
      </c>
    </row>
    <row r="166" spans="1:9" x14ac:dyDescent="0.3">
      <c r="A166" t="s">
        <v>196</v>
      </c>
      <c r="B166" s="1">
        <v>46087</v>
      </c>
      <c r="C166" t="s">
        <v>32</v>
      </c>
      <c r="D166" t="s">
        <v>19</v>
      </c>
      <c r="E166" t="s">
        <v>37</v>
      </c>
      <c r="F166">
        <v>2</v>
      </c>
      <c r="G166">
        <v>0</v>
      </c>
      <c r="H166">
        <v>7000</v>
      </c>
      <c r="I166">
        <v>1400</v>
      </c>
    </row>
    <row r="167" spans="1:9" x14ac:dyDescent="0.3">
      <c r="A167" t="s">
        <v>197</v>
      </c>
      <c r="B167" s="1">
        <v>46103</v>
      </c>
      <c r="C167" t="s">
        <v>14</v>
      </c>
      <c r="D167" t="s">
        <v>15</v>
      </c>
      <c r="E167" t="s">
        <v>12</v>
      </c>
      <c r="F167">
        <v>1</v>
      </c>
      <c r="G167">
        <v>0</v>
      </c>
      <c r="H167">
        <v>1800</v>
      </c>
      <c r="I167">
        <v>324</v>
      </c>
    </row>
    <row r="168" spans="1:9" x14ac:dyDescent="0.3">
      <c r="A168" t="s">
        <v>198</v>
      </c>
      <c r="B168" s="1">
        <v>46146</v>
      </c>
      <c r="C168" t="s">
        <v>14</v>
      </c>
      <c r="D168" t="s">
        <v>15</v>
      </c>
      <c r="E168" t="s">
        <v>29</v>
      </c>
      <c r="F168">
        <v>3</v>
      </c>
      <c r="G168">
        <v>0.05</v>
      </c>
      <c r="H168">
        <v>5130</v>
      </c>
      <c r="I168">
        <v>923.4</v>
      </c>
    </row>
    <row r="169" spans="1:9" x14ac:dyDescent="0.3">
      <c r="A169" t="s">
        <v>199</v>
      </c>
      <c r="B169" s="1">
        <v>46098</v>
      </c>
      <c r="C169" t="s">
        <v>14</v>
      </c>
      <c r="D169" t="s">
        <v>15</v>
      </c>
      <c r="E169" t="s">
        <v>12</v>
      </c>
      <c r="F169">
        <v>2</v>
      </c>
      <c r="G169">
        <v>0.05</v>
      </c>
      <c r="H169">
        <v>3420</v>
      </c>
      <c r="I169">
        <v>615.6</v>
      </c>
    </row>
    <row r="170" spans="1:9" x14ac:dyDescent="0.3">
      <c r="A170" t="s">
        <v>200</v>
      </c>
      <c r="B170" s="1">
        <v>46026</v>
      </c>
      <c r="C170" t="s">
        <v>32</v>
      </c>
      <c r="D170" t="s">
        <v>19</v>
      </c>
      <c r="E170" t="s">
        <v>27</v>
      </c>
      <c r="F170">
        <v>5</v>
      </c>
      <c r="G170">
        <v>0</v>
      </c>
      <c r="H170">
        <v>17500</v>
      </c>
      <c r="I170">
        <v>3500</v>
      </c>
    </row>
    <row r="171" spans="1:9" x14ac:dyDescent="0.3">
      <c r="A171" t="s">
        <v>201</v>
      </c>
      <c r="B171" s="1">
        <v>46036</v>
      </c>
      <c r="C171" t="s">
        <v>56</v>
      </c>
      <c r="D171" t="s">
        <v>15</v>
      </c>
      <c r="E171" t="s">
        <v>37</v>
      </c>
      <c r="F171">
        <v>5</v>
      </c>
      <c r="G171">
        <v>0.05</v>
      </c>
      <c r="H171">
        <v>261250</v>
      </c>
      <c r="I171">
        <v>26125</v>
      </c>
    </row>
    <row r="172" spans="1:9" x14ac:dyDescent="0.3">
      <c r="A172" t="s">
        <v>202</v>
      </c>
      <c r="B172" s="1">
        <v>46186</v>
      </c>
      <c r="C172" t="s">
        <v>26</v>
      </c>
      <c r="D172" t="s">
        <v>15</v>
      </c>
      <c r="E172" t="s">
        <v>24</v>
      </c>
      <c r="F172">
        <v>4</v>
      </c>
      <c r="G172">
        <v>0</v>
      </c>
      <c r="H172">
        <v>10000</v>
      </c>
      <c r="I172">
        <v>1500</v>
      </c>
    </row>
    <row r="173" spans="1:9" x14ac:dyDescent="0.3">
      <c r="A173" t="s">
        <v>203</v>
      </c>
      <c r="B173" s="1">
        <v>46169</v>
      </c>
      <c r="C173" t="s">
        <v>56</v>
      </c>
      <c r="D173" t="s">
        <v>15</v>
      </c>
      <c r="E173" t="s">
        <v>33</v>
      </c>
      <c r="F173">
        <v>3</v>
      </c>
      <c r="G173">
        <v>0.1</v>
      </c>
      <c r="H173">
        <v>148500</v>
      </c>
      <c r="I173">
        <v>14850</v>
      </c>
    </row>
    <row r="174" spans="1:9" x14ac:dyDescent="0.3">
      <c r="A174" t="s">
        <v>204</v>
      </c>
      <c r="B174" s="1">
        <v>46110</v>
      </c>
      <c r="C174" t="s">
        <v>23</v>
      </c>
      <c r="D174" t="s">
        <v>19</v>
      </c>
      <c r="E174" t="s">
        <v>27</v>
      </c>
      <c r="F174">
        <v>2</v>
      </c>
      <c r="G174">
        <v>0</v>
      </c>
      <c r="H174">
        <v>3200</v>
      </c>
      <c r="I174">
        <v>640</v>
      </c>
    </row>
    <row r="175" spans="1:9" x14ac:dyDescent="0.3">
      <c r="A175" t="s">
        <v>205</v>
      </c>
      <c r="B175" s="1">
        <v>46052</v>
      </c>
      <c r="C175" t="s">
        <v>23</v>
      </c>
      <c r="D175" t="s">
        <v>19</v>
      </c>
      <c r="E175" t="s">
        <v>33</v>
      </c>
      <c r="F175">
        <v>1</v>
      </c>
      <c r="G175">
        <v>0.1</v>
      </c>
      <c r="H175">
        <v>1440</v>
      </c>
      <c r="I175">
        <v>288</v>
      </c>
    </row>
    <row r="176" spans="1:9" x14ac:dyDescent="0.3">
      <c r="A176" t="s">
        <v>206</v>
      </c>
      <c r="B176" s="1">
        <v>46170</v>
      </c>
      <c r="C176" t="s">
        <v>35</v>
      </c>
      <c r="D176" t="s">
        <v>15</v>
      </c>
      <c r="E176" t="s">
        <v>12</v>
      </c>
      <c r="F176">
        <v>1</v>
      </c>
      <c r="G176">
        <v>0</v>
      </c>
      <c r="H176">
        <v>30000</v>
      </c>
      <c r="I176">
        <v>2700</v>
      </c>
    </row>
    <row r="177" spans="1:9" x14ac:dyDescent="0.3">
      <c r="A177" t="s">
        <v>207</v>
      </c>
      <c r="B177" s="1">
        <v>46100</v>
      </c>
      <c r="C177" t="s">
        <v>49</v>
      </c>
      <c r="D177" t="s">
        <v>50</v>
      </c>
      <c r="E177" t="s">
        <v>29</v>
      </c>
      <c r="F177">
        <v>1</v>
      </c>
      <c r="G177">
        <v>0</v>
      </c>
      <c r="H177">
        <v>7000</v>
      </c>
      <c r="I177">
        <v>980</v>
      </c>
    </row>
    <row r="178" spans="1:9" x14ac:dyDescent="0.3">
      <c r="A178" t="s">
        <v>208</v>
      </c>
      <c r="B178" s="1">
        <v>46129</v>
      </c>
      <c r="C178" t="s">
        <v>69</v>
      </c>
      <c r="D178" t="s">
        <v>50</v>
      </c>
      <c r="E178" t="s">
        <v>24</v>
      </c>
      <c r="F178">
        <v>5</v>
      </c>
      <c r="G178">
        <v>0</v>
      </c>
      <c r="H178">
        <v>42500</v>
      </c>
      <c r="I178">
        <v>5100</v>
      </c>
    </row>
    <row r="179" spans="1:9" x14ac:dyDescent="0.3">
      <c r="A179" t="s">
        <v>209</v>
      </c>
      <c r="B179" s="1">
        <v>46120</v>
      </c>
      <c r="C179" t="s">
        <v>69</v>
      </c>
      <c r="D179" t="s">
        <v>50</v>
      </c>
      <c r="E179" t="s">
        <v>27</v>
      </c>
      <c r="F179">
        <v>4</v>
      </c>
      <c r="G179">
        <v>0.1</v>
      </c>
      <c r="H179">
        <v>30600</v>
      </c>
      <c r="I179">
        <v>3672</v>
      </c>
    </row>
    <row r="180" spans="1:9" x14ac:dyDescent="0.3">
      <c r="A180" t="s">
        <v>210</v>
      </c>
      <c r="B180" s="1">
        <v>46132</v>
      </c>
      <c r="C180" t="s">
        <v>49</v>
      </c>
      <c r="D180" t="s">
        <v>50</v>
      </c>
      <c r="E180" t="s">
        <v>16</v>
      </c>
      <c r="F180">
        <v>3</v>
      </c>
      <c r="G180">
        <v>0</v>
      </c>
      <c r="H180">
        <v>21000</v>
      </c>
      <c r="I180">
        <v>2940</v>
      </c>
    </row>
    <row r="181" spans="1:9" x14ac:dyDescent="0.3">
      <c r="A181" t="s">
        <v>211</v>
      </c>
      <c r="B181" s="1">
        <v>46048</v>
      </c>
      <c r="C181" t="s">
        <v>44</v>
      </c>
      <c r="D181" t="s">
        <v>11</v>
      </c>
      <c r="E181" t="s">
        <v>27</v>
      </c>
      <c r="F181">
        <v>2</v>
      </c>
      <c r="G181">
        <v>0</v>
      </c>
      <c r="H181">
        <v>6400</v>
      </c>
      <c r="I181">
        <v>832</v>
      </c>
    </row>
    <row r="182" spans="1:9" x14ac:dyDescent="0.3">
      <c r="A182" t="s">
        <v>212</v>
      </c>
      <c r="B182" s="1">
        <v>46043</v>
      </c>
      <c r="C182" t="s">
        <v>10</v>
      </c>
      <c r="D182" t="s">
        <v>11</v>
      </c>
      <c r="E182" t="s">
        <v>12</v>
      </c>
      <c r="F182">
        <v>2</v>
      </c>
      <c r="G182">
        <v>0</v>
      </c>
      <c r="H182">
        <v>9000</v>
      </c>
      <c r="I182">
        <v>1440</v>
      </c>
    </row>
    <row r="183" spans="1:9" x14ac:dyDescent="0.3">
      <c r="A183" t="s">
        <v>213</v>
      </c>
      <c r="B183" s="1">
        <v>46042</v>
      </c>
      <c r="C183" t="s">
        <v>69</v>
      </c>
      <c r="D183" t="s">
        <v>50</v>
      </c>
      <c r="E183" t="s">
        <v>33</v>
      </c>
      <c r="F183">
        <v>2</v>
      </c>
      <c r="G183">
        <v>0</v>
      </c>
      <c r="H183">
        <v>17000</v>
      </c>
      <c r="I183">
        <v>2040</v>
      </c>
    </row>
    <row r="184" spans="1:9" x14ac:dyDescent="0.3">
      <c r="A184" t="s">
        <v>214</v>
      </c>
      <c r="B184" s="1">
        <v>46199</v>
      </c>
      <c r="C184" t="s">
        <v>23</v>
      </c>
      <c r="D184" t="s">
        <v>19</v>
      </c>
      <c r="E184" t="s">
        <v>27</v>
      </c>
      <c r="F184">
        <v>5</v>
      </c>
      <c r="G184">
        <v>0.1</v>
      </c>
      <c r="H184">
        <v>7200</v>
      </c>
      <c r="I184">
        <v>1440</v>
      </c>
    </row>
    <row r="185" spans="1:9" x14ac:dyDescent="0.3">
      <c r="A185" t="s">
        <v>215</v>
      </c>
      <c r="B185" s="1">
        <v>46082</v>
      </c>
      <c r="C185" t="s">
        <v>56</v>
      </c>
      <c r="D185" t="s">
        <v>15</v>
      </c>
      <c r="E185" t="s">
        <v>37</v>
      </c>
      <c r="F185">
        <v>3</v>
      </c>
      <c r="G185">
        <v>0.05</v>
      </c>
      <c r="H185">
        <v>156750</v>
      </c>
      <c r="I185">
        <v>15675</v>
      </c>
    </row>
    <row r="186" spans="1:9" x14ac:dyDescent="0.3">
      <c r="A186" t="s">
        <v>216</v>
      </c>
      <c r="B186" s="1">
        <v>46041</v>
      </c>
      <c r="C186" t="s">
        <v>23</v>
      </c>
      <c r="D186" t="s">
        <v>19</v>
      </c>
      <c r="E186" t="s">
        <v>24</v>
      </c>
      <c r="F186">
        <v>2</v>
      </c>
      <c r="G186">
        <v>0.05</v>
      </c>
      <c r="H186">
        <v>3040</v>
      </c>
      <c r="I186">
        <v>608</v>
      </c>
    </row>
    <row r="187" spans="1:9" x14ac:dyDescent="0.3">
      <c r="A187" t="s">
        <v>217</v>
      </c>
      <c r="B187" s="1">
        <v>46173</v>
      </c>
      <c r="C187" t="s">
        <v>10</v>
      </c>
      <c r="D187" t="s">
        <v>11</v>
      </c>
      <c r="E187" t="s">
        <v>29</v>
      </c>
      <c r="F187">
        <v>2</v>
      </c>
      <c r="G187">
        <v>0.1</v>
      </c>
      <c r="H187">
        <v>8100</v>
      </c>
      <c r="I187">
        <v>1296</v>
      </c>
    </row>
    <row r="188" spans="1:9" x14ac:dyDescent="0.3">
      <c r="A188" t="s">
        <v>218</v>
      </c>
      <c r="B188" s="1">
        <v>46080</v>
      </c>
      <c r="C188" t="s">
        <v>69</v>
      </c>
      <c r="D188" t="s">
        <v>50</v>
      </c>
      <c r="E188" t="s">
        <v>24</v>
      </c>
      <c r="F188">
        <v>2</v>
      </c>
      <c r="G188">
        <v>0.05</v>
      </c>
      <c r="H188">
        <v>16150</v>
      </c>
      <c r="I188">
        <v>1938</v>
      </c>
    </row>
    <row r="189" spans="1:9" x14ac:dyDescent="0.3">
      <c r="A189" t="s">
        <v>219</v>
      </c>
      <c r="B189" s="1">
        <v>46041</v>
      </c>
      <c r="C189" t="s">
        <v>26</v>
      </c>
      <c r="D189" t="s">
        <v>15</v>
      </c>
      <c r="E189" t="s">
        <v>24</v>
      </c>
      <c r="F189">
        <v>1</v>
      </c>
      <c r="G189">
        <v>0</v>
      </c>
      <c r="H189">
        <v>2500</v>
      </c>
      <c r="I189">
        <v>375</v>
      </c>
    </row>
    <row r="190" spans="1:9" x14ac:dyDescent="0.3">
      <c r="A190" t="s">
        <v>220</v>
      </c>
      <c r="B190" s="1">
        <v>46175</v>
      </c>
      <c r="C190" t="s">
        <v>32</v>
      </c>
      <c r="D190" t="s">
        <v>19</v>
      </c>
      <c r="E190" t="s">
        <v>33</v>
      </c>
      <c r="F190">
        <v>5</v>
      </c>
      <c r="G190">
        <v>0.05</v>
      </c>
      <c r="H190">
        <v>16625</v>
      </c>
      <c r="I190">
        <v>3325</v>
      </c>
    </row>
    <row r="191" spans="1:9" x14ac:dyDescent="0.3">
      <c r="A191" t="s">
        <v>221</v>
      </c>
      <c r="B191" s="1">
        <v>46142</v>
      </c>
      <c r="C191" t="s">
        <v>35</v>
      </c>
      <c r="D191" t="s">
        <v>15</v>
      </c>
      <c r="E191" t="s">
        <v>27</v>
      </c>
      <c r="F191">
        <v>3</v>
      </c>
      <c r="G191">
        <v>0.1</v>
      </c>
      <c r="H191">
        <v>81000</v>
      </c>
      <c r="I191">
        <v>7290</v>
      </c>
    </row>
    <row r="192" spans="1:9" x14ac:dyDescent="0.3">
      <c r="A192" t="s">
        <v>222</v>
      </c>
      <c r="B192" s="1">
        <v>46161</v>
      </c>
      <c r="C192" t="s">
        <v>69</v>
      </c>
      <c r="D192" t="s">
        <v>50</v>
      </c>
      <c r="E192" t="s">
        <v>29</v>
      </c>
      <c r="F192">
        <v>4</v>
      </c>
      <c r="G192">
        <v>0.1</v>
      </c>
      <c r="H192">
        <v>30600</v>
      </c>
      <c r="I192">
        <v>3672</v>
      </c>
    </row>
    <row r="193" spans="1:9" x14ac:dyDescent="0.3">
      <c r="A193" t="s">
        <v>223</v>
      </c>
      <c r="B193" s="1">
        <v>46033</v>
      </c>
      <c r="C193" t="s">
        <v>49</v>
      </c>
      <c r="D193" t="s">
        <v>50</v>
      </c>
      <c r="E193" t="s">
        <v>16</v>
      </c>
      <c r="F193">
        <v>4</v>
      </c>
      <c r="G193">
        <v>0.05</v>
      </c>
      <c r="H193">
        <v>26600</v>
      </c>
      <c r="I193">
        <v>3724</v>
      </c>
    </row>
    <row r="194" spans="1:9" x14ac:dyDescent="0.3">
      <c r="A194" t="s">
        <v>224</v>
      </c>
      <c r="B194" s="1">
        <v>46029</v>
      </c>
      <c r="C194" t="s">
        <v>32</v>
      </c>
      <c r="D194" t="s">
        <v>19</v>
      </c>
      <c r="E194" t="s">
        <v>37</v>
      </c>
      <c r="F194">
        <v>1</v>
      </c>
      <c r="G194">
        <v>0</v>
      </c>
      <c r="H194">
        <v>3500</v>
      </c>
      <c r="I194">
        <v>700</v>
      </c>
    </row>
    <row r="195" spans="1:9" x14ac:dyDescent="0.3">
      <c r="A195" t="s">
        <v>225</v>
      </c>
      <c r="B195" s="1">
        <v>46173</v>
      </c>
      <c r="C195" t="s">
        <v>49</v>
      </c>
      <c r="D195" t="s">
        <v>50</v>
      </c>
      <c r="E195" t="s">
        <v>16</v>
      </c>
      <c r="F195">
        <v>1</v>
      </c>
      <c r="G195">
        <v>0.05</v>
      </c>
      <c r="H195">
        <v>6650</v>
      </c>
      <c r="I195">
        <v>931</v>
      </c>
    </row>
    <row r="196" spans="1:9" x14ac:dyDescent="0.3">
      <c r="A196" t="s">
        <v>226</v>
      </c>
      <c r="B196" s="1">
        <v>46067</v>
      </c>
      <c r="C196" t="s">
        <v>56</v>
      </c>
      <c r="D196" t="s">
        <v>15</v>
      </c>
      <c r="E196" t="s">
        <v>27</v>
      </c>
      <c r="F196">
        <v>4</v>
      </c>
      <c r="G196">
        <v>0.1</v>
      </c>
      <c r="H196">
        <v>198000</v>
      </c>
      <c r="I196">
        <v>19800</v>
      </c>
    </row>
    <row r="197" spans="1:9" x14ac:dyDescent="0.3">
      <c r="A197" t="s">
        <v>227</v>
      </c>
      <c r="B197" s="1">
        <v>46172</v>
      </c>
      <c r="C197" t="s">
        <v>26</v>
      </c>
      <c r="D197" t="s">
        <v>15</v>
      </c>
      <c r="E197" t="s">
        <v>29</v>
      </c>
      <c r="F197">
        <v>4</v>
      </c>
      <c r="G197">
        <v>0.1</v>
      </c>
      <c r="H197">
        <v>9000</v>
      </c>
      <c r="I197">
        <v>1350</v>
      </c>
    </row>
    <row r="198" spans="1:9" x14ac:dyDescent="0.3">
      <c r="A198" t="s">
        <v>228</v>
      </c>
      <c r="B198" s="1">
        <v>46112</v>
      </c>
      <c r="C198" t="s">
        <v>23</v>
      </c>
      <c r="D198" t="s">
        <v>19</v>
      </c>
      <c r="E198" t="s">
        <v>27</v>
      </c>
      <c r="F198">
        <v>4</v>
      </c>
      <c r="G198">
        <v>0.05</v>
      </c>
      <c r="H198">
        <v>6080</v>
      </c>
      <c r="I198">
        <v>1216</v>
      </c>
    </row>
    <row r="199" spans="1:9" x14ac:dyDescent="0.3">
      <c r="A199" t="s">
        <v>229</v>
      </c>
      <c r="B199" s="1">
        <v>46049</v>
      </c>
      <c r="C199" t="s">
        <v>10</v>
      </c>
      <c r="D199" t="s">
        <v>11</v>
      </c>
      <c r="E199" t="s">
        <v>33</v>
      </c>
      <c r="F199">
        <v>2</v>
      </c>
      <c r="G199">
        <v>0.05</v>
      </c>
      <c r="H199">
        <v>8550</v>
      </c>
      <c r="I199">
        <v>1368</v>
      </c>
    </row>
    <row r="200" spans="1:9" x14ac:dyDescent="0.3">
      <c r="A200" t="s">
        <v>230</v>
      </c>
      <c r="B200" s="1">
        <v>46149</v>
      </c>
      <c r="C200" t="s">
        <v>44</v>
      </c>
      <c r="D200" t="s">
        <v>11</v>
      </c>
      <c r="E200" t="s">
        <v>24</v>
      </c>
      <c r="F200">
        <v>3</v>
      </c>
      <c r="G200">
        <v>0.1</v>
      </c>
      <c r="H200">
        <v>8640</v>
      </c>
      <c r="I200">
        <v>1123.2</v>
      </c>
    </row>
    <row r="201" spans="1:9" x14ac:dyDescent="0.3">
      <c r="A201" t="s">
        <v>231</v>
      </c>
      <c r="B201" s="1">
        <v>46032</v>
      </c>
      <c r="C201" t="s">
        <v>69</v>
      </c>
      <c r="D201" t="s">
        <v>50</v>
      </c>
      <c r="E201" t="s">
        <v>27</v>
      </c>
      <c r="F201">
        <v>4</v>
      </c>
      <c r="G201">
        <v>0</v>
      </c>
      <c r="H201">
        <v>34000</v>
      </c>
      <c r="I201">
        <v>4080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D38F-792D-4C99-A04C-4D94EC539446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2.6640625" bestFit="1" customWidth="1"/>
    <col min="2" max="2" width="10.5546875" bestFit="1" customWidth="1"/>
  </cols>
  <sheetData>
    <row r="1" spans="1:2" x14ac:dyDescent="0.3">
      <c r="A1" t="s">
        <v>232</v>
      </c>
      <c r="B1">
        <f>SUM(Table1[Sales])</f>
        <v>5856440</v>
      </c>
    </row>
    <row r="2" spans="1:2" x14ac:dyDescent="0.3">
      <c r="A2" t="s">
        <v>233</v>
      </c>
      <c r="B2">
        <f>SUM(Table1[Profit])</f>
        <v>655403.5</v>
      </c>
    </row>
    <row r="3" spans="1:2" x14ac:dyDescent="0.3">
      <c r="A3" t="s">
        <v>234</v>
      </c>
      <c r="B3">
        <f>SUM(Table1[Quantity])</f>
        <v>584</v>
      </c>
    </row>
    <row r="4" spans="1:2" x14ac:dyDescent="0.3">
      <c r="A4" t="s">
        <v>235</v>
      </c>
      <c r="B4">
        <f>COUNTA(Table1[Order ID])</f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surajsharmaH5@gmail.com</cp:lastModifiedBy>
  <dcterms:created xsi:type="dcterms:W3CDTF">2026-08-16T19:37:25Z</dcterms:created>
  <dcterms:modified xsi:type="dcterms:W3CDTF">2026-08-25T19:06:18Z</dcterms:modified>
</cp:coreProperties>
</file>